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ykh.DESKTOP-H73ACN6\Documents\Proj\Project_4\"/>
    </mc:Choice>
  </mc:AlternateContent>
  <xr:revisionPtr revIDLastSave="0" documentId="13_ncr:1_{940A8851-2888-4FDC-AF4A-895E9D66849E}" xr6:coauthVersionLast="47" xr6:coauthVersionMax="47" xr10:uidLastSave="{00000000-0000-0000-0000-000000000000}"/>
  <bookViews>
    <workbookView xWindow="7530" yWindow="0" windowWidth="16470" windowHeight="13500" firstSheet="3" activeTab="4" xr2:uid="{00000000-000D-0000-FFFF-FFFF00000000}"/>
  </bookViews>
  <sheets>
    <sheet name="Project_Brief" sheetId="1" r:id="rId1"/>
    <sheet name="Crops" sheetId="2" r:id="rId2"/>
    <sheet name="Districts" sheetId="3" r:id="rId3"/>
    <sheet name="Farm_Records_RAW" sheetId="4" r:id="rId4"/>
    <sheet name="Sheet1" sheetId="6" r:id="rId5"/>
    <sheet name="Farm_Records_Cleaned" sheetId="5" r:id="rId6"/>
    <sheet name="Pivot" sheetId="8" r:id="rId7"/>
  </sheets>
  <calcPr calcId="191029"/>
  <pivotCaches>
    <pivotCache cacheId="7" r:id="rId8"/>
    <pivotCache cacheId="16" r:id="rId9"/>
  </pivotCaches>
</workbook>
</file>

<file path=xl/calcChain.xml><?xml version="1.0" encoding="utf-8"?>
<calcChain xmlns="http://schemas.openxmlformats.org/spreadsheetml/2006/main">
  <c r="H38" i="6" l="1"/>
  <c r="H39" i="6"/>
  <c r="H40" i="6"/>
  <c r="H41" i="6"/>
  <c r="H42" i="6"/>
  <c r="D50" i="6"/>
  <c r="G42" i="6"/>
  <c r="G32" i="6"/>
  <c r="G41" i="6"/>
  <c r="G31" i="6"/>
  <c r="H31" i="6" s="1"/>
  <c r="G40" i="6"/>
  <c r="G30" i="6"/>
  <c r="G39" i="6"/>
  <c r="G29" i="6"/>
  <c r="G38" i="6"/>
  <c r="G28" i="6"/>
  <c r="D49" i="6"/>
  <c r="H28" i="6" s="1"/>
  <c r="D47" i="6"/>
  <c r="F38" i="6"/>
  <c r="F42" i="6"/>
  <c r="F39" i="6"/>
  <c r="F41" i="6"/>
  <c r="F40" i="6"/>
  <c r="F32" i="6"/>
  <c r="F31" i="6"/>
  <c r="F30" i="6"/>
  <c r="F29" i="6"/>
  <c r="F28" i="6"/>
  <c r="H32" i="6" l="1"/>
  <c r="H29" i="6"/>
  <c r="H30" i="6"/>
  <c r="C53" i="6"/>
  <c r="C52" i="6"/>
  <c r="C51" i="6"/>
  <c r="C49" i="6"/>
  <c r="C48" i="6"/>
  <c r="C50" i="6"/>
  <c r="V28" i="5"/>
  <c r="V32" i="5"/>
  <c r="V31" i="5"/>
  <c r="V29" i="5"/>
  <c r="V30" i="5"/>
  <c r="V27" i="5"/>
  <c r="U19" i="5"/>
  <c r="U11" i="5"/>
  <c r="U28" i="5"/>
  <c r="U27" i="5"/>
  <c r="U30" i="5"/>
  <c r="U31" i="5"/>
  <c r="U29" i="5"/>
  <c r="U32" i="5"/>
  <c r="U23" i="5"/>
  <c r="U21" i="5"/>
  <c r="U24" i="5"/>
  <c r="U20" i="5"/>
  <c r="U22" i="5"/>
  <c r="U7" i="5"/>
  <c r="U4" i="5"/>
  <c r="U5" i="5"/>
  <c r="U6" i="5"/>
  <c r="U3" i="5"/>
  <c r="U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N2" i="5"/>
  <c r="O2" i="5" s="1"/>
  <c r="N3" i="5"/>
  <c r="O3" i="5" s="1"/>
  <c r="N4" i="5"/>
  <c r="O4" i="5" s="1"/>
  <c r="N5" i="5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O43" i="5" s="1"/>
  <c r="N44" i="5"/>
  <c r="O44" i="5" s="1"/>
  <c r="N45" i="5"/>
  <c r="O45" i="5" s="1"/>
  <c r="N46" i="5"/>
  <c r="O46" i="5" s="1"/>
  <c r="N47" i="5"/>
  <c r="O47" i="5" s="1"/>
  <c r="N48" i="5"/>
  <c r="O48" i="5" s="1"/>
  <c r="N49" i="5"/>
  <c r="O49" i="5" s="1"/>
  <c r="N50" i="5"/>
  <c r="O50" i="5" s="1"/>
  <c r="N51" i="5"/>
  <c r="O51" i="5" s="1"/>
  <c r="N52" i="5"/>
  <c r="O52" i="5" s="1"/>
  <c r="N53" i="5"/>
  <c r="O53" i="5" s="1"/>
  <c r="N54" i="5"/>
  <c r="O54" i="5" s="1"/>
  <c r="N55" i="5"/>
  <c r="O55" i="5" s="1"/>
  <c r="N56" i="5"/>
  <c r="O56" i="5" s="1"/>
  <c r="N57" i="5"/>
  <c r="O57" i="5" s="1"/>
  <c r="N58" i="5"/>
  <c r="O58" i="5" s="1"/>
  <c r="N59" i="5"/>
  <c r="O59" i="5" s="1"/>
  <c r="N60" i="5"/>
  <c r="O60" i="5" s="1"/>
  <c r="N61" i="5"/>
  <c r="O61" i="5" s="1"/>
  <c r="N62" i="5"/>
  <c r="O62" i="5" s="1"/>
  <c r="N63" i="5"/>
  <c r="O63" i="5" s="1"/>
  <c r="N64" i="5"/>
  <c r="O64" i="5" s="1"/>
  <c r="N65" i="5"/>
  <c r="O65" i="5" s="1"/>
  <c r="N66" i="5"/>
  <c r="O66" i="5" s="1"/>
  <c r="N67" i="5"/>
  <c r="O67" i="5" s="1"/>
  <c r="N68" i="5"/>
  <c r="O68" i="5" s="1"/>
  <c r="N69" i="5"/>
  <c r="O69" i="5" s="1"/>
  <c r="N70" i="5"/>
  <c r="O70" i="5" s="1"/>
  <c r="N71" i="5"/>
  <c r="O71" i="5" s="1"/>
  <c r="N72" i="5"/>
  <c r="O72" i="5" s="1"/>
  <c r="N73" i="5"/>
  <c r="O73" i="5" s="1"/>
  <c r="N74" i="5"/>
  <c r="O74" i="5" s="1"/>
  <c r="N75" i="5"/>
  <c r="O75" i="5" s="1"/>
  <c r="N76" i="5"/>
  <c r="O76" i="5" s="1"/>
  <c r="N77" i="5"/>
  <c r="O77" i="5" s="1"/>
  <c r="N78" i="5"/>
  <c r="O78" i="5" s="1"/>
  <c r="N79" i="5"/>
  <c r="O79" i="5" s="1"/>
  <c r="N80" i="5"/>
  <c r="O80" i="5" s="1"/>
  <c r="N81" i="5"/>
  <c r="O81" i="5" s="1"/>
  <c r="N82" i="5"/>
  <c r="O82" i="5" s="1"/>
  <c r="N83" i="5"/>
  <c r="O83" i="5" s="1"/>
  <c r="N84" i="5"/>
  <c r="O84" i="5" s="1"/>
  <c r="N85" i="5"/>
  <c r="O85" i="5" s="1"/>
  <c r="N86" i="5"/>
  <c r="O86" i="5" s="1"/>
  <c r="N87" i="5"/>
  <c r="O87" i="5" s="1"/>
  <c r="N88" i="5"/>
  <c r="O88" i="5" s="1"/>
  <c r="N89" i="5"/>
  <c r="O89" i="5" s="1"/>
  <c r="N90" i="5"/>
  <c r="O90" i="5" s="1"/>
  <c r="N91" i="5"/>
  <c r="O91" i="5" s="1"/>
  <c r="N92" i="5"/>
  <c r="O92" i="5" s="1"/>
  <c r="N93" i="5"/>
  <c r="O93" i="5" s="1"/>
  <c r="N94" i="5"/>
  <c r="O94" i="5" s="1"/>
  <c r="N95" i="5"/>
  <c r="O95" i="5" s="1"/>
  <c r="N96" i="5"/>
  <c r="O96" i="5" s="1"/>
  <c r="N97" i="5"/>
  <c r="O97" i="5" s="1"/>
  <c r="N98" i="5"/>
  <c r="O98" i="5" s="1"/>
  <c r="N99" i="5"/>
  <c r="O99" i="5" s="1"/>
  <c r="N100" i="5"/>
  <c r="O100" i="5" s="1"/>
  <c r="N101" i="5"/>
  <c r="O101" i="5" s="1"/>
  <c r="N102" i="5"/>
  <c r="O102" i="5" s="1"/>
  <c r="N103" i="5"/>
  <c r="O103" i="5" s="1"/>
  <c r="N104" i="5"/>
  <c r="O104" i="5" s="1"/>
  <c r="N105" i="5"/>
  <c r="O105" i="5" s="1"/>
  <c r="N106" i="5"/>
  <c r="O106" i="5" s="1"/>
  <c r="N107" i="5"/>
  <c r="O107" i="5" s="1"/>
  <c r="N108" i="5"/>
  <c r="O108" i="5" s="1"/>
  <c r="N109" i="5"/>
  <c r="O109" i="5" s="1"/>
  <c r="N110" i="5"/>
  <c r="O110" i="5" s="1"/>
  <c r="N111" i="5"/>
  <c r="O111" i="5" s="1"/>
  <c r="N112" i="5"/>
  <c r="O112" i="5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125" i="5"/>
  <c r="O125" i="5" s="1"/>
  <c r="N126" i="5"/>
  <c r="O126" i="5" s="1"/>
  <c r="N127" i="5"/>
  <c r="O127" i="5" s="1"/>
  <c r="N128" i="5"/>
  <c r="O128" i="5" s="1"/>
  <c r="N129" i="5"/>
  <c r="O129" i="5" s="1"/>
  <c r="N130" i="5"/>
  <c r="O130" i="5" s="1"/>
  <c r="N131" i="5"/>
  <c r="O131" i="5" s="1"/>
  <c r="N132" i="5"/>
  <c r="O132" i="5" s="1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 s="1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158" i="5"/>
  <c r="O158" i="5" s="1"/>
  <c r="N159" i="5"/>
  <c r="O159" i="5" s="1"/>
  <c r="N160" i="5"/>
  <c r="O160" i="5" s="1"/>
  <c r="N161" i="5"/>
  <c r="O161" i="5" s="1"/>
  <c r="N162" i="5"/>
  <c r="O162" i="5" s="1"/>
  <c r="N163" i="5"/>
  <c r="O163" i="5" s="1"/>
  <c r="N164" i="5"/>
  <c r="O164" i="5" s="1"/>
  <c r="N165" i="5"/>
  <c r="O165" i="5" s="1"/>
  <c r="N166" i="5"/>
  <c r="O166" i="5" s="1"/>
  <c r="N167" i="5"/>
  <c r="O167" i="5" s="1"/>
  <c r="N168" i="5"/>
  <c r="O168" i="5" s="1"/>
  <c r="N169" i="5"/>
  <c r="O169" i="5" s="1"/>
  <c r="N170" i="5"/>
  <c r="O170" i="5" s="1"/>
  <c r="N171" i="5"/>
  <c r="O171" i="5" s="1"/>
  <c r="N172" i="5"/>
  <c r="O172" i="5" s="1"/>
  <c r="N173" i="5"/>
  <c r="O173" i="5" s="1"/>
  <c r="N174" i="5"/>
  <c r="O174" i="5" s="1"/>
  <c r="N175" i="5"/>
  <c r="O175" i="5" s="1"/>
  <c r="N176" i="5"/>
  <c r="O176" i="5" s="1"/>
  <c r="N177" i="5"/>
  <c r="O177" i="5" s="1"/>
  <c r="N178" i="5"/>
  <c r="O178" i="5" s="1"/>
  <c r="N179" i="5"/>
  <c r="O179" i="5" s="1"/>
  <c r="N180" i="5"/>
  <c r="O180" i="5" s="1"/>
  <c r="N181" i="5"/>
  <c r="O181" i="5" s="1"/>
  <c r="N182" i="5"/>
  <c r="O182" i="5" s="1"/>
  <c r="N183" i="5"/>
  <c r="O183" i="5" s="1"/>
  <c r="N184" i="5"/>
  <c r="O184" i="5" s="1"/>
  <c r="N185" i="5"/>
  <c r="O185" i="5" s="1"/>
  <c r="N186" i="5"/>
  <c r="O186" i="5" s="1"/>
  <c r="N187" i="5"/>
  <c r="O187" i="5" s="1"/>
  <c r="N188" i="5"/>
  <c r="O188" i="5" s="1"/>
  <c r="N189" i="5"/>
  <c r="O189" i="5" s="1"/>
  <c r="N190" i="5"/>
  <c r="O190" i="5" s="1"/>
  <c r="N191" i="5"/>
  <c r="O191" i="5" s="1"/>
  <c r="N192" i="5"/>
  <c r="O192" i="5" s="1"/>
  <c r="N193" i="5"/>
  <c r="O193" i="5" s="1"/>
  <c r="N194" i="5"/>
  <c r="O194" i="5" s="1"/>
  <c r="N195" i="5"/>
  <c r="O195" i="5" s="1"/>
  <c r="N196" i="5"/>
  <c r="O196" i="5" s="1"/>
  <c r="N197" i="5"/>
  <c r="O197" i="5" s="1"/>
  <c r="N198" i="5"/>
  <c r="O198" i="5" s="1"/>
  <c r="N199" i="5"/>
  <c r="O199" i="5" s="1"/>
  <c r="N200" i="5"/>
  <c r="O200" i="5" s="1"/>
  <c r="N201" i="5"/>
  <c r="O201" i="5" s="1"/>
  <c r="N202" i="5"/>
  <c r="O202" i="5" s="1"/>
  <c r="N203" i="5"/>
  <c r="O203" i="5" s="1"/>
  <c r="N204" i="5"/>
  <c r="O204" i="5" s="1"/>
  <c r="N205" i="5"/>
  <c r="O205" i="5" s="1"/>
  <c r="N206" i="5"/>
  <c r="O206" i="5" s="1"/>
  <c r="N207" i="5"/>
  <c r="O207" i="5" s="1"/>
  <c r="N208" i="5"/>
  <c r="O208" i="5" s="1"/>
  <c r="N209" i="5"/>
  <c r="O209" i="5" s="1"/>
  <c r="N210" i="5"/>
  <c r="O210" i="5" s="1"/>
  <c r="N211" i="5"/>
  <c r="O211" i="5" s="1"/>
  <c r="N212" i="5"/>
  <c r="O212" i="5" s="1"/>
  <c r="N213" i="5"/>
  <c r="O213" i="5" s="1"/>
  <c r="N214" i="5"/>
  <c r="O214" i="5" s="1"/>
  <c r="N215" i="5"/>
  <c r="O215" i="5" s="1"/>
  <c r="N216" i="5"/>
  <c r="O216" i="5" s="1"/>
  <c r="N217" i="5"/>
  <c r="O217" i="5" s="1"/>
  <c r="N218" i="5"/>
  <c r="O218" i="5" s="1"/>
  <c r="N219" i="5"/>
  <c r="O219" i="5" s="1"/>
  <c r="N220" i="5"/>
  <c r="O220" i="5" s="1"/>
  <c r="N221" i="5"/>
  <c r="O221" i="5" s="1"/>
  <c r="N222" i="5"/>
  <c r="O222" i="5" s="1"/>
  <c r="N223" i="5"/>
  <c r="O223" i="5" s="1"/>
  <c r="N224" i="5"/>
  <c r="O224" i="5" s="1"/>
  <c r="N225" i="5"/>
  <c r="O225" i="5" s="1"/>
  <c r="N226" i="5"/>
  <c r="O226" i="5" s="1"/>
  <c r="N227" i="5"/>
  <c r="O227" i="5" s="1"/>
  <c r="N228" i="5"/>
  <c r="O228" i="5" s="1"/>
  <c r="N229" i="5"/>
  <c r="O229" i="5" s="1"/>
  <c r="N230" i="5"/>
  <c r="O230" i="5" s="1"/>
  <c r="N231" i="5"/>
  <c r="O231" i="5" s="1"/>
  <c r="N232" i="5"/>
  <c r="O232" i="5" s="1"/>
  <c r="N233" i="5"/>
  <c r="O233" i="5" s="1"/>
  <c r="N234" i="5"/>
  <c r="O234" i="5" s="1"/>
  <c r="N235" i="5"/>
  <c r="O235" i="5" s="1"/>
  <c r="N236" i="5"/>
  <c r="O236" i="5" s="1"/>
  <c r="N237" i="5"/>
  <c r="O237" i="5" s="1"/>
  <c r="N238" i="5"/>
  <c r="O238" i="5" s="1"/>
  <c r="N239" i="5"/>
  <c r="O239" i="5" s="1"/>
  <c r="N240" i="5"/>
  <c r="O240" i="5" s="1"/>
  <c r="N241" i="5"/>
  <c r="O241" i="5" s="1"/>
  <c r="N242" i="5"/>
  <c r="O242" i="5" s="1"/>
  <c r="N243" i="5"/>
  <c r="O243" i="5" s="1"/>
  <c r="N244" i="5"/>
  <c r="O244" i="5" s="1"/>
  <c r="N245" i="5"/>
  <c r="O245" i="5" s="1"/>
  <c r="N246" i="5"/>
  <c r="O246" i="5" s="1"/>
  <c r="N247" i="5"/>
  <c r="O247" i="5" s="1"/>
  <c r="N248" i="5"/>
  <c r="O248" i="5" s="1"/>
  <c r="N249" i="5"/>
  <c r="O249" i="5" s="1"/>
  <c r="N250" i="5"/>
  <c r="O250" i="5" s="1"/>
  <c r="N251" i="5"/>
  <c r="O251" i="5" s="1"/>
  <c r="N252" i="5"/>
  <c r="O252" i="5" s="1"/>
  <c r="N253" i="5"/>
  <c r="O253" i="5" s="1"/>
  <c r="N254" i="5"/>
  <c r="O254" i="5" s="1"/>
  <c r="N255" i="5"/>
  <c r="O255" i="5" s="1"/>
  <c r="N256" i="5"/>
  <c r="O256" i="5" s="1"/>
  <c r="N257" i="5"/>
  <c r="O257" i="5" s="1"/>
  <c r="N258" i="5"/>
  <c r="O258" i="5" s="1"/>
  <c r="N259" i="5"/>
  <c r="O259" i="5" s="1"/>
  <c r="N260" i="5"/>
  <c r="O260" i="5" s="1"/>
  <c r="N261" i="5"/>
  <c r="O261" i="5" s="1"/>
  <c r="N262" i="5"/>
  <c r="O262" i="5" s="1"/>
  <c r="N263" i="5"/>
  <c r="O263" i="5" s="1"/>
  <c r="N264" i="5"/>
  <c r="O264" i="5" s="1"/>
  <c r="N265" i="5"/>
  <c r="O265" i="5" s="1"/>
  <c r="N266" i="5"/>
  <c r="O266" i="5" s="1"/>
  <c r="N267" i="5"/>
  <c r="O267" i="5" s="1"/>
  <c r="N268" i="5"/>
  <c r="O268" i="5" s="1"/>
  <c r="N269" i="5"/>
  <c r="O269" i="5" s="1"/>
  <c r="N270" i="5"/>
  <c r="O270" i="5" s="1"/>
  <c r="N271" i="5"/>
  <c r="O271" i="5" s="1"/>
  <c r="N272" i="5"/>
  <c r="O272" i="5" s="1"/>
  <c r="N273" i="5"/>
  <c r="O273" i="5" s="1"/>
  <c r="N274" i="5"/>
  <c r="O274" i="5" s="1"/>
  <c r="N275" i="5"/>
  <c r="O275" i="5" s="1"/>
  <c r="N276" i="5"/>
  <c r="O276" i="5" s="1"/>
  <c r="N277" i="5"/>
  <c r="O277" i="5" s="1"/>
  <c r="N278" i="5"/>
  <c r="O278" i="5" s="1"/>
  <c r="N279" i="5"/>
  <c r="O279" i="5" s="1"/>
  <c r="N280" i="5"/>
  <c r="O280" i="5" s="1"/>
  <c r="N281" i="5"/>
  <c r="O281" i="5" s="1"/>
  <c r="N282" i="5"/>
  <c r="O282" i="5" s="1"/>
  <c r="N283" i="5"/>
  <c r="O283" i="5" s="1"/>
  <c r="N284" i="5"/>
  <c r="O284" i="5" s="1"/>
  <c r="N285" i="5"/>
  <c r="O285" i="5" s="1"/>
  <c r="N286" i="5"/>
  <c r="O286" i="5" s="1"/>
  <c r="N287" i="5"/>
  <c r="O287" i="5" s="1"/>
  <c r="N288" i="5"/>
  <c r="O288" i="5" s="1"/>
  <c r="N289" i="5"/>
  <c r="O289" i="5" s="1"/>
  <c r="N290" i="5"/>
  <c r="O290" i="5" s="1"/>
  <c r="N291" i="5"/>
  <c r="O291" i="5" s="1"/>
  <c r="N292" i="5"/>
  <c r="O292" i="5" s="1"/>
  <c r="N293" i="5"/>
  <c r="O293" i="5" s="1"/>
  <c r="N294" i="5"/>
  <c r="O294" i="5" s="1"/>
  <c r="N295" i="5"/>
  <c r="O295" i="5" s="1"/>
  <c r="N296" i="5"/>
  <c r="O296" i="5" s="1"/>
  <c r="N297" i="5"/>
  <c r="O297" i="5" s="1"/>
  <c r="N298" i="5"/>
  <c r="O298" i="5" s="1"/>
  <c r="N299" i="5"/>
  <c r="O299" i="5" s="1"/>
  <c r="N300" i="5"/>
  <c r="O300" i="5" s="1"/>
  <c r="N301" i="5"/>
  <c r="O301" i="5" s="1"/>
  <c r="N302" i="5"/>
  <c r="O302" i="5" s="1"/>
  <c r="N303" i="5"/>
  <c r="O303" i="5" s="1"/>
  <c r="N304" i="5"/>
  <c r="O304" i="5" s="1"/>
  <c r="N305" i="5"/>
  <c r="O305" i="5" s="1"/>
  <c r="N306" i="5"/>
  <c r="O306" i="5" s="1"/>
  <c r="N307" i="5"/>
  <c r="O307" i="5" s="1"/>
  <c r="N308" i="5"/>
  <c r="O308" i="5" s="1"/>
  <c r="N309" i="5"/>
  <c r="O309" i="5" s="1"/>
  <c r="N310" i="5"/>
  <c r="O310" i="5" s="1"/>
  <c r="N311" i="5"/>
  <c r="O311" i="5" s="1"/>
  <c r="N312" i="5"/>
  <c r="O312" i="5" s="1"/>
  <c r="N313" i="5"/>
  <c r="O313" i="5" s="1"/>
  <c r="N314" i="5"/>
  <c r="O314" i="5" s="1"/>
  <c r="N315" i="5"/>
  <c r="O315" i="5" s="1"/>
  <c r="N316" i="5"/>
  <c r="O316" i="5" s="1"/>
  <c r="N317" i="5"/>
  <c r="O317" i="5" s="1"/>
  <c r="N318" i="5"/>
  <c r="O318" i="5" s="1"/>
  <c r="N319" i="5"/>
  <c r="O319" i="5" s="1"/>
  <c r="N320" i="5"/>
  <c r="O320" i="5" s="1"/>
  <c r="N321" i="5"/>
  <c r="O321" i="5" s="1"/>
  <c r="N322" i="5"/>
  <c r="O322" i="5" s="1"/>
  <c r="N323" i="5"/>
  <c r="O323" i="5" s="1"/>
  <c r="N324" i="5"/>
  <c r="O324" i="5" s="1"/>
  <c r="N325" i="5"/>
  <c r="O325" i="5" s="1"/>
  <c r="N326" i="5"/>
  <c r="O326" i="5" s="1"/>
  <c r="N327" i="5"/>
  <c r="O327" i="5" s="1"/>
  <c r="N328" i="5"/>
  <c r="O328" i="5" s="1"/>
  <c r="N329" i="5"/>
  <c r="O329" i="5" s="1"/>
  <c r="N330" i="5"/>
  <c r="O330" i="5" s="1"/>
  <c r="N331" i="5"/>
  <c r="O331" i="5" s="1"/>
  <c r="N332" i="5"/>
  <c r="O332" i="5" s="1"/>
  <c r="N333" i="5"/>
  <c r="O333" i="5" s="1"/>
  <c r="N334" i="5"/>
  <c r="O334" i="5" s="1"/>
  <c r="N335" i="5"/>
  <c r="O335" i="5" s="1"/>
  <c r="N336" i="5"/>
  <c r="O336" i="5" s="1"/>
  <c r="N337" i="5"/>
  <c r="O337" i="5" s="1"/>
  <c r="N338" i="5"/>
  <c r="O338" i="5" s="1"/>
  <c r="N339" i="5"/>
  <c r="O339" i="5" s="1"/>
  <c r="N340" i="5"/>
  <c r="O340" i="5" s="1"/>
  <c r="N341" i="5"/>
  <c r="O341" i="5" s="1"/>
  <c r="N342" i="5"/>
  <c r="O342" i="5" s="1"/>
  <c r="N343" i="5"/>
  <c r="O343" i="5" s="1"/>
  <c r="N344" i="5"/>
  <c r="O344" i="5" s="1"/>
  <c r="N345" i="5"/>
  <c r="O345" i="5" s="1"/>
  <c r="N346" i="5"/>
  <c r="O346" i="5" s="1"/>
  <c r="N347" i="5"/>
  <c r="O347" i="5" s="1"/>
  <c r="N348" i="5"/>
  <c r="O348" i="5" s="1"/>
  <c r="N349" i="5"/>
  <c r="O349" i="5" s="1"/>
  <c r="N350" i="5"/>
  <c r="O350" i="5" s="1"/>
  <c r="N351" i="5"/>
  <c r="O351" i="5" s="1"/>
  <c r="N352" i="5"/>
  <c r="O352" i="5" s="1"/>
  <c r="N353" i="5"/>
  <c r="O353" i="5" s="1"/>
  <c r="N354" i="5"/>
  <c r="O354" i="5" s="1"/>
  <c r="N355" i="5"/>
  <c r="O355" i="5" s="1"/>
  <c r="N356" i="5"/>
  <c r="O356" i="5" s="1"/>
  <c r="N357" i="5"/>
  <c r="O357" i="5" s="1"/>
  <c r="N358" i="5"/>
  <c r="O358" i="5" s="1"/>
  <c r="N359" i="5"/>
  <c r="O359" i="5" s="1"/>
  <c r="N360" i="5"/>
  <c r="O360" i="5" s="1"/>
  <c r="N361" i="5"/>
  <c r="O361" i="5" s="1"/>
  <c r="N362" i="5"/>
  <c r="O362" i="5" s="1"/>
  <c r="N363" i="5"/>
  <c r="O363" i="5" s="1"/>
  <c r="N364" i="5"/>
  <c r="O364" i="5" s="1"/>
  <c r="N365" i="5"/>
  <c r="O365" i="5" s="1"/>
  <c r="N366" i="5"/>
  <c r="O366" i="5" s="1"/>
  <c r="N367" i="5"/>
  <c r="O367" i="5" s="1"/>
  <c r="N368" i="5"/>
  <c r="O368" i="5" s="1"/>
  <c r="N369" i="5"/>
  <c r="O369" i="5" s="1"/>
  <c r="N370" i="5"/>
  <c r="O370" i="5" s="1"/>
  <c r="N371" i="5"/>
  <c r="O371" i="5" s="1"/>
  <c r="N372" i="5"/>
  <c r="O372" i="5" s="1"/>
  <c r="N373" i="5"/>
  <c r="O373" i="5" s="1"/>
  <c r="N374" i="5"/>
  <c r="O374" i="5" s="1"/>
  <c r="N375" i="5"/>
  <c r="O375" i="5" s="1"/>
  <c r="N376" i="5"/>
  <c r="O376" i="5" s="1"/>
  <c r="N377" i="5"/>
  <c r="O377" i="5" s="1"/>
  <c r="N378" i="5"/>
  <c r="O378" i="5" s="1"/>
  <c r="N379" i="5"/>
  <c r="O379" i="5" s="1"/>
  <c r="N380" i="5"/>
  <c r="O380" i="5" s="1"/>
  <c r="N381" i="5"/>
  <c r="O381" i="5" s="1"/>
  <c r="N382" i="5"/>
  <c r="O382" i="5" s="1"/>
  <c r="N383" i="5"/>
  <c r="O383" i="5" s="1"/>
  <c r="N384" i="5"/>
  <c r="O384" i="5" s="1"/>
  <c r="N385" i="5"/>
  <c r="O385" i="5" s="1"/>
  <c r="N386" i="5"/>
  <c r="O386" i="5" s="1"/>
  <c r="N387" i="5"/>
  <c r="O387" i="5" s="1"/>
  <c r="N388" i="5"/>
  <c r="O388" i="5" s="1"/>
  <c r="N389" i="5"/>
  <c r="O389" i="5" s="1"/>
  <c r="N390" i="5"/>
  <c r="O390" i="5" s="1"/>
  <c r="N391" i="5"/>
  <c r="O391" i="5" s="1"/>
  <c r="N392" i="5"/>
  <c r="O392" i="5" s="1"/>
  <c r="N393" i="5"/>
  <c r="O393" i="5" s="1"/>
  <c r="N394" i="5"/>
  <c r="O394" i="5" s="1"/>
  <c r="N395" i="5"/>
  <c r="O395" i="5" s="1"/>
  <c r="N396" i="5"/>
  <c r="O396" i="5" s="1"/>
  <c r="N397" i="5"/>
  <c r="O397" i="5" s="1"/>
  <c r="N398" i="5"/>
  <c r="O398" i="5" s="1"/>
  <c r="N399" i="5"/>
  <c r="O399" i="5" s="1"/>
  <c r="N400" i="5"/>
  <c r="O400" i="5" s="1"/>
  <c r="N401" i="5"/>
  <c r="O401" i="5" s="1"/>
  <c r="N402" i="5"/>
  <c r="O402" i="5" s="1"/>
  <c r="N403" i="5"/>
  <c r="O403" i="5" s="1"/>
  <c r="N404" i="5"/>
  <c r="O404" i="5" s="1"/>
  <c r="N405" i="5"/>
  <c r="O405" i="5" s="1"/>
  <c r="N406" i="5"/>
  <c r="O406" i="5" s="1"/>
  <c r="N407" i="5"/>
  <c r="O407" i="5" s="1"/>
  <c r="N408" i="5"/>
  <c r="O408" i="5" s="1"/>
  <c r="N409" i="5"/>
  <c r="O409" i="5" s="1"/>
  <c r="N410" i="5"/>
  <c r="O410" i="5" s="1"/>
  <c r="N411" i="5"/>
  <c r="O411" i="5" s="1"/>
  <c r="N412" i="5"/>
  <c r="O412" i="5" s="1"/>
  <c r="N413" i="5"/>
  <c r="O413" i="5" s="1"/>
  <c r="N414" i="5"/>
  <c r="O414" i="5" s="1"/>
  <c r="N415" i="5"/>
  <c r="O415" i="5" s="1"/>
  <c r="N416" i="5"/>
  <c r="O416" i="5" s="1"/>
  <c r="N417" i="5"/>
  <c r="O417" i="5" s="1"/>
  <c r="N418" i="5"/>
  <c r="O418" i="5" s="1"/>
  <c r="N419" i="5"/>
  <c r="O419" i="5" s="1"/>
  <c r="N420" i="5"/>
  <c r="O420" i="5" s="1"/>
  <c r="N421" i="5"/>
  <c r="O421" i="5" s="1"/>
  <c r="N422" i="5"/>
  <c r="O422" i="5" s="1"/>
  <c r="N423" i="5"/>
  <c r="O423" i="5" s="1"/>
  <c r="N424" i="5"/>
  <c r="O424" i="5" s="1"/>
  <c r="N425" i="5"/>
  <c r="O425" i="5" s="1"/>
  <c r="N426" i="5"/>
  <c r="O426" i="5" s="1"/>
  <c r="N427" i="5"/>
  <c r="O427" i="5" s="1"/>
  <c r="N428" i="5"/>
  <c r="O428" i="5" s="1"/>
  <c r="N429" i="5"/>
  <c r="O429" i="5" s="1"/>
  <c r="N430" i="5"/>
  <c r="O430" i="5" s="1"/>
  <c r="N431" i="5"/>
  <c r="O431" i="5" s="1"/>
  <c r="N432" i="5"/>
  <c r="O432" i="5" s="1"/>
  <c r="N433" i="5"/>
  <c r="O433" i="5" s="1"/>
  <c r="N434" i="5"/>
  <c r="O434" i="5" s="1"/>
  <c r="N435" i="5"/>
  <c r="O435" i="5" s="1"/>
  <c r="N436" i="5"/>
  <c r="O436" i="5" s="1"/>
  <c r="N437" i="5"/>
  <c r="O437" i="5" s="1"/>
  <c r="N438" i="5"/>
  <c r="O438" i="5" s="1"/>
  <c r="N439" i="5"/>
  <c r="O439" i="5" s="1"/>
  <c r="N440" i="5"/>
  <c r="O440" i="5" s="1"/>
  <c r="N441" i="5"/>
  <c r="O441" i="5" s="1"/>
  <c r="N442" i="5"/>
  <c r="O442" i="5" s="1"/>
  <c r="N443" i="5"/>
  <c r="O443" i="5" s="1"/>
  <c r="N444" i="5"/>
  <c r="O444" i="5" s="1"/>
  <c r="N445" i="5"/>
  <c r="O445" i="5" s="1"/>
  <c r="N446" i="5"/>
  <c r="O446" i="5" s="1"/>
  <c r="N447" i="5"/>
  <c r="O447" i="5" s="1"/>
  <c r="N448" i="5"/>
  <c r="O448" i="5" s="1"/>
  <c r="N449" i="5"/>
  <c r="O449" i="5" s="1"/>
  <c r="N450" i="5"/>
  <c r="O450" i="5" s="1"/>
  <c r="N451" i="5"/>
  <c r="O451" i="5" s="1"/>
  <c r="N452" i="5"/>
  <c r="O452" i="5" s="1"/>
  <c r="N453" i="5"/>
  <c r="O453" i="5" s="1"/>
  <c r="N454" i="5"/>
  <c r="O454" i="5" s="1"/>
  <c r="N455" i="5"/>
  <c r="O455" i="5" s="1"/>
  <c r="N456" i="5"/>
  <c r="O456" i="5" s="1"/>
  <c r="N457" i="5"/>
  <c r="O457" i="5" s="1"/>
  <c r="N458" i="5"/>
  <c r="O458" i="5" s="1"/>
  <c r="N459" i="5"/>
  <c r="O459" i="5" s="1"/>
  <c r="N460" i="5"/>
  <c r="O460" i="5" s="1"/>
  <c r="N461" i="5"/>
  <c r="O461" i="5" s="1"/>
  <c r="N462" i="5"/>
  <c r="O462" i="5" s="1"/>
  <c r="N463" i="5"/>
  <c r="O463" i="5" s="1"/>
  <c r="N464" i="5"/>
  <c r="O464" i="5" s="1"/>
  <c r="N465" i="5"/>
  <c r="O465" i="5" s="1"/>
  <c r="N466" i="5"/>
  <c r="O466" i="5" s="1"/>
  <c r="N467" i="5"/>
  <c r="O467" i="5" s="1"/>
  <c r="N468" i="5"/>
  <c r="O468" i="5" s="1"/>
  <c r="N469" i="5"/>
  <c r="O469" i="5" s="1"/>
  <c r="N470" i="5"/>
  <c r="O470" i="5" s="1"/>
  <c r="N471" i="5"/>
  <c r="O471" i="5" s="1"/>
  <c r="N472" i="5"/>
  <c r="O472" i="5" s="1"/>
  <c r="N473" i="5"/>
  <c r="O473" i="5" s="1"/>
  <c r="N474" i="5"/>
  <c r="O474" i="5" s="1"/>
  <c r="N475" i="5"/>
  <c r="O475" i="5" s="1"/>
  <c r="N476" i="5"/>
  <c r="O476" i="5" s="1"/>
  <c r="N477" i="5"/>
  <c r="O477" i="5" s="1"/>
  <c r="N478" i="5"/>
  <c r="O478" i="5" s="1"/>
  <c r="N479" i="5"/>
  <c r="O479" i="5" s="1"/>
  <c r="N480" i="5"/>
  <c r="O480" i="5" s="1"/>
  <c r="N481" i="5"/>
  <c r="O481" i="5" s="1"/>
  <c r="N482" i="5"/>
  <c r="O482" i="5" s="1"/>
  <c r="N483" i="5"/>
  <c r="O483" i="5" s="1"/>
  <c r="N484" i="5"/>
  <c r="O484" i="5" s="1"/>
  <c r="N485" i="5"/>
  <c r="O485" i="5" s="1"/>
  <c r="N486" i="5"/>
  <c r="O486" i="5" s="1"/>
  <c r="N487" i="5"/>
  <c r="O487" i="5" s="1"/>
  <c r="N488" i="5"/>
  <c r="O488" i="5" s="1"/>
  <c r="N489" i="5"/>
  <c r="O489" i="5" s="1"/>
  <c r="N490" i="5"/>
  <c r="O490" i="5" s="1"/>
  <c r="N491" i="5"/>
  <c r="O491" i="5" s="1"/>
  <c r="N492" i="5"/>
  <c r="O492" i="5" s="1"/>
  <c r="N493" i="5"/>
  <c r="O493" i="5" s="1"/>
  <c r="N494" i="5"/>
  <c r="O494" i="5" s="1"/>
  <c r="N495" i="5"/>
  <c r="O495" i="5" s="1"/>
  <c r="N496" i="5"/>
  <c r="O496" i="5" s="1"/>
  <c r="N497" i="5"/>
  <c r="O497" i="5" s="1"/>
  <c r="N498" i="5"/>
  <c r="O498" i="5" s="1"/>
  <c r="N499" i="5"/>
  <c r="O499" i="5" s="1"/>
  <c r="N500" i="5"/>
  <c r="O500" i="5" s="1"/>
  <c r="N501" i="5"/>
  <c r="O501" i="5" s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E29" i="6"/>
  <c r="E30" i="6"/>
  <c r="E31" i="6"/>
  <c r="E32" i="6"/>
  <c r="E38" i="6"/>
  <c r="E39" i="6"/>
  <c r="E40" i="6"/>
  <c r="E41" i="6"/>
  <c r="E42" i="6"/>
  <c r="E28" i="6"/>
  <c r="U16" i="5" l="1"/>
  <c r="U13" i="5"/>
  <c r="U14" i="5"/>
  <c r="U15" i="5"/>
  <c r="U12" i="5"/>
</calcChain>
</file>

<file path=xl/sharedStrings.xml><?xml version="1.0" encoding="utf-8"?>
<sst xmlns="http://schemas.openxmlformats.org/spreadsheetml/2006/main" count="4223" uniqueCount="298">
  <si>
    <t>CAPSTONE PROJECT 4 — Agricultural Cooperative Production &amp; Market Performance</t>
  </si>
  <si>
    <t>A farmer cooperative wants to evaluate crop production, input costs, sales, market channels, and farmer performance across districts.</t>
  </si>
  <si>
    <t>SECTION</t>
  </si>
  <si>
    <t>DETAIL</t>
  </si>
  <si>
    <t>Objectives</t>
  </si>
  <si>
    <t>Measure production and sales performance.</t>
  </si>
  <si>
    <t>Compare profitability across crops and districts.</t>
  </si>
  <si>
    <t>Recommend operational and market improvements.</t>
  </si>
  <si>
    <t>Required Tasks</t>
  </si>
  <si>
    <t>Excel: inspect the raw data; use appropriate formulas/functions (e.g., IF/IFS, COUNTIF(S), SUMIF(S), XLOOKUP or INDEX-MATCH) for at least 4 useful checks or calculations.</t>
  </si>
  <si>
    <t>Excel: create at least one PivotTable and PivotChart to perform an initial exploratory analysis.</t>
  </si>
  <si>
    <t>Power Query: clean the data, correct data types, remove duplicates where appropriate, handle missing values responsibly, standardize inconsistent text, and document important transformation steps.</t>
  </si>
  <si>
    <t>Data modelling: build appropriate relationships between the fact table and lookup/dimension tables; use a simple star-schema approach where appropriate.</t>
  </si>
  <si>
    <t>DAX: create at least 6 meaningful measures, including totals/counts, an average or rate, DIVIDE, and at least one CALCULATE-based measure.</t>
  </si>
  <si>
    <t>Power BI: build a professional interactive report with KPI cards, suitable comparison and trend visuals, filters/slicers, and clear titles.</t>
  </si>
  <si>
    <t>Analysis: write at least 5 evidence-based insights and 3 practical recommendations for management.</t>
  </si>
  <si>
    <t>Business Questions</t>
  </si>
  <si>
    <t>What are total production volume, sales revenue, and estimated gross margin?</t>
  </si>
  <si>
    <t>Which crops generate the highest revenue and gross margin?</t>
  </si>
  <si>
    <t>Which districts have the highest yield per acre?</t>
  </si>
  <si>
    <t>How do input costs vary by crop and district?</t>
  </si>
  <si>
    <t>Which market channels provide the highest average selling price?</t>
  </si>
  <si>
    <t>What proportion of harvested produce is sold versus lost/spoiled?</t>
  </si>
  <si>
    <t>Which farmer groups show the strongest performance?</t>
  </si>
  <si>
    <t>What seasonal patterns are visible in production and sales?</t>
  </si>
  <si>
    <t>Deliverables</t>
  </si>
  <si>
    <t>Cleaned Excel workbook or documented Excel analysis.</t>
  </si>
  <si>
    <t>Power BI (.pbix) report with data model, DAX measures, visuals, and slicers.</t>
  </si>
  <si>
    <t>One-page executive summary containing key findings and recommendations.</t>
  </si>
  <si>
    <t>Crop ID</t>
  </si>
  <si>
    <t>Crop</t>
  </si>
  <si>
    <t>C01</t>
  </si>
  <si>
    <t>Maize</t>
  </si>
  <si>
    <t>C02</t>
  </si>
  <si>
    <t>Rice</t>
  </si>
  <si>
    <t>C03</t>
  </si>
  <si>
    <t>Tomato</t>
  </si>
  <si>
    <t>C04</t>
  </si>
  <si>
    <t>Pepper</t>
  </si>
  <si>
    <t>C05</t>
  </si>
  <si>
    <t>Soybean</t>
  </si>
  <si>
    <t>C06</t>
  </si>
  <si>
    <t>Cassava</t>
  </si>
  <si>
    <t>District ID</t>
  </si>
  <si>
    <t>District</t>
  </si>
  <si>
    <t>D01</t>
  </si>
  <si>
    <t>Ejura</t>
  </si>
  <si>
    <t>D02</t>
  </si>
  <si>
    <t>Techiman</t>
  </si>
  <si>
    <t>D03</t>
  </si>
  <si>
    <t>Tamale Metro</t>
  </si>
  <si>
    <t>D04</t>
  </si>
  <si>
    <t>Kintampo</t>
  </si>
  <si>
    <t>D05</t>
  </si>
  <si>
    <t>Hohoe</t>
  </si>
  <si>
    <t>Farmer ID</t>
  </si>
  <si>
    <t>Record Date</t>
  </si>
  <si>
    <t>Acres Cultivated</t>
  </si>
  <si>
    <t>Harvest Quantity (kg)</t>
  </si>
  <si>
    <t>Post-Harvest Loss (kg)</t>
  </si>
  <si>
    <t>Quantity Sold (kg)</t>
  </si>
  <si>
    <t>Market Channel</t>
  </si>
  <si>
    <t>Selling Price/kg (GHS)</t>
  </si>
  <si>
    <t>Input Cost (GHS)</t>
  </si>
  <si>
    <t>F0128</t>
  </si>
  <si>
    <t>Wholesaler</t>
  </si>
  <si>
    <t>F0174</t>
  </si>
  <si>
    <t>Processor</t>
  </si>
  <si>
    <t>F0109</t>
  </si>
  <si>
    <t>F0186</t>
  </si>
  <si>
    <t>Farm Gate</t>
  </si>
  <si>
    <t>F0162</t>
  </si>
  <si>
    <t>F0166</t>
  </si>
  <si>
    <t>F0193</t>
  </si>
  <si>
    <t>F0066</t>
  </si>
  <si>
    <t>F0054</t>
  </si>
  <si>
    <t>F0007</t>
  </si>
  <si>
    <t>Local Market</t>
  </si>
  <si>
    <t>F0033</t>
  </si>
  <si>
    <t>F0093</t>
  </si>
  <si>
    <t>F0176</t>
  </si>
  <si>
    <t>F0213</t>
  </si>
  <si>
    <t>F0172</t>
  </si>
  <si>
    <t>F0164</t>
  </si>
  <si>
    <t>F0042</t>
  </si>
  <si>
    <t>F0136</t>
  </si>
  <si>
    <t>F0190</t>
  </si>
  <si>
    <t>F0002</t>
  </si>
  <si>
    <t>F0038</t>
  </si>
  <si>
    <t>F0092</t>
  </si>
  <si>
    <t>F0154</t>
  </si>
  <si>
    <t>F0140</t>
  </si>
  <si>
    <t>F0064</t>
  </si>
  <si>
    <t>F0012</t>
  </si>
  <si>
    <t>F0098</t>
  </si>
  <si>
    <t>F0063</t>
  </si>
  <si>
    <t>F0049</t>
  </si>
  <si>
    <t>F0143</t>
  </si>
  <si>
    <t>F0114</t>
  </si>
  <si>
    <t>F0057</t>
  </si>
  <si>
    <t>F0205</t>
  </si>
  <si>
    <t>F0107</t>
  </si>
  <si>
    <t>F0147</t>
  </si>
  <si>
    <t>F0181</t>
  </si>
  <si>
    <t>F0188</t>
  </si>
  <si>
    <t>F0073</t>
  </si>
  <si>
    <t>F0220</t>
  </si>
  <si>
    <t>F0125</t>
  </si>
  <si>
    <t>F0165</t>
  </si>
  <si>
    <t>F0083</t>
  </si>
  <si>
    <t>F0052</t>
  </si>
  <si>
    <t>F0030</t>
  </si>
  <si>
    <t>F0022</t>
  </si>
  <si>
    <t>F0170</t>
  </si>
  <si>
    <t>F0039</t>
  </si>
  <si>
    <t>F0017</t>
  </si>
  <si>
    <t>F0004</t>
  </si>
  <si>
    <t>F0088</t>
  </si>
  <si>
    <t>F0082</t>
  </si>
  <si>
    <t>F0123</t>
  </si>
  <si>
    <t>F0035</t>
  </si>
  <si>
    <t>F0203</t>
  </si>
  <si>
    <t>F0150</t>
  </si>
  <si>
    <t>F0209</t>
  </si>
  <si>
    <t>F0191</t>
  </si>
  <si>
    <t>F0008</t>
  </si>
  <si>
    <t>F0018</t>
  </si>
  <si>
    <t>F0080</t>
  </si>
  <si>
    <t>F0021</t>
  </si>
  <si>
    <t>F0020</t>
  </si>
  <si>
    <t>F0142</t>
  </si>
  <si>
    <t>F0089</t>
  </si>
  <si>
    <t>F0197</t>
  </si>
  <si>
    <t>F0062</t>
  </si>
  <si>
    <t>F0061</t>
  </si>
  <si>
    <t>F0051</t>
  </si>
  <si>
    <t>F0116</t>
  </si>
  <si>
    <t>F0016</t>
  </si>
  <si>
    <t>F0168</t>
  </si>
  <si>
    <t>F0101</t>
  </si>
  <si>
    <t>F0081</t>
  </si>
  <si>
    <t>F0126</t>
  </si>
  <si>
    <t>wholesaler</t>
  </si>
  <si>
    <t>F0006</t>
  </si>
  <si>
    <t>F0110</t>
  </si>
  <si>
    <t>F0177</t>
  </si>
  <si>
    <t>F0153</t>
  </si>
  <si>
    <t>F0009</t>
  </si>
  <si>
    <t>F0134</t>
  </si>
  <si>
    <t>F0013</t>
  </si>
  <si>
    <t>F0050</t>
  </si>
  <si>
    <t>F0199</t>
  </si>
  <si>
    <t>F0131</t>
  </si>
  <si>
    <t>F0053</t>
  </si>
  <si>
    <t>F0104</t>
  </si>
  <si>
    <t>F0085</t>
  </si>
  <si>
    <t>F0161</t>
  </si>
  <si>
    <t>F0145</t>
  </si>
  <si>
    <t>F0115</t>
  </si>
  <si>
    <t>F0204</t>
  </si>
  <si>
    <t>F0084</t>
  </si>
  <si>
    <t>F0178</t>
  </si>
  <si>
    <t>F0014</t>
  </si>
  <si>
    <t>F0121</t>
  </si>
  <si>
    <t>F0067</t>
  </si>
  <si>
    <t>F0055</t>
  </si>
  <si>
    <t>F0179</t>
  </si>
  <si>
    <t>F0023</t>
  </si>
  <si>
    <t>F0173</t>
  </si>
  <si>
    <t>F0184</t>
  </si>
  <si>
    <t>F0113</t>
  </si>
  <si>
    <t>F0095</t>
  </si>
  <si>
    <t>F0032</t>
  </si>
  <si>
    <t>F0036</t>
  </si>
  <si>
    <t>F0075</t>
  </si>
  <si>
    <t>F0194</t>
  </si>
  <si>
    <t>F0031</t>
  </si>
  <si>
    <t>F0106</t>
  </si>
  <si>
    <t>F0117</t>
  </si>
  <si>
    <t>F0034</t>
  </si>
  <si>
    <t>F0141</t>
  </si>
  <si>
    <t>F0037</t>
  </si>
  <si>
    <t>F0060</t>
  </si>
  <si>
    <t>F0200</t>
  </si>
  <si>
    <t>F0086</t>
  </si>
  <si>
    <t>F0044</t>
  </si>
  <si>
    <t>F0103</t>
  </si>
  <si>
    <t>F0094</t>
  </si>
  <si>
    <t>F0003</t>
  </si>
  <si>
    <t>F0215</t>
  </si>
  <si>
    <t>F0218</t>
  </si>
  <si>
    <t>F0212</t>
  </si>
  <si>
    <t>F0026</t>
  </si>
  <si>
    <t>F0097</t>
  </si>
  <si>
    <t>F0108</t>
  </si>
  <si>
    <t>F0078</t>
  </si>
  <si>
    <t>F0091</t>
  </si>
  <si>
    <t>F0015</t>
  </si>
  <si>
    <t>F0167</t>
  </si>
  <si>
    <t>F0135</t>
  </si>
  <si>
    <t>F0185</t>
  </si>
  <si>
    <t>F0071</t>
  </si>
  <si>
    <t>F0005</t>
  </si>
  <si>
    <t>F0124</t>
  </si>
  <si>
    <t>F0120</t>
  </si>
  <si>
    <t>F0130</t>
  </si>
  <si>
    <t>F0028</t>
  </si>
  <si>
    <t>F0025</t>
  </si>
  <si>
    <t>F0065</t>
  </si>
  <si>
    <t>F0144</t>
  </si>
  <si>
    <t>F0183</t>
  </si>
  <si>
    <t>F0056</t>
  </si>
  <si>
    <t>F0048</t>
  </si>
  <si>
    <t>F0047</t>
  </si>
  <si>
    <t>F0118</t>
  </si>
  <si>
    <t>F0070</t>
  </si>
  <si>
    <t>F0105</t>
  </si>
  <si>
    <t>F0192</t>
  </si>
  <si>
    <t>F0079</t>
  </si>
  <si>
    <t>F0219</t>
  </si>
  <si>
    <t>F0072</t>
  </si>
  <si>
    <t>F0059</t>
  </si>
  <si>
    <t>F0119</t>
  </si>
  <si>
    <t>F0208</t>
  </si>
  <si>
    <t>F0206</t>
  </si>
  <si>
    <t>F0045</t>
  </si>
  <si>
    <t>F0187</t>
  </si>
  <si>
    <t>F0074</t>
  </si>
  <si>
    <t>F0196</t>
  </si>
  <si>
    <t>F0046</t>
  </si>
  <si>
    <t>F0001</t>
  </si>
  <si>
    <t>F0210</t>
  </si>
  <si>
    <t>F0111</t>
  </si>
  <si>
    <t>F0087</t>
  </si>
  <si>
    <t>F0157</t>
  </si>
  <si>
    <t>F0169</t>
  </si>
  <si>
    <t>F0155</t>
  </si>
  <si>
    <t>F0019</t>
  </si>
  <si>
    <t>F0024</t>
  </si>
  <si>
    <t>F0214</t>
  </si>
  <si>
    <t>F0201</t>
  </si>
  <si>
    <t>F0195</t>
  </si>
  <si>
    <t>F0137</t>
  </si>
  <si>
    <t>F0180</t>
  </si>
  <si>
    <t>F0040</t>
  </si>
  <si>
    <t>F0216</t>
  </si>
  <si>
    <t>F0058</t>
  </si>
  <si>
    <t>F0068</t>
  </si>
  <si>
    <t>F0148</t>
  </si>
  <si>
    <t>F0010</t>
  </si>
  <si>
    <t>F0122</t>
  </si>
  <si>
    <t>F0027</t>
  </si>
  <si>
    <t>F0112</t>
  </si>
  <si>
    <t>F0041</t>
  </si>
  <si>
    <t>F0043</t>
  </si>
  <si>
    <t>F0175</t>
  </si>
  <si>
    <t>F0211</t>
  </si>
  <si>
    <t>F0102</t>
  </si>
  <si>
    <t>F0139</t>
  </si>
  <si>
    <t>F0138</t>
  </si>
  <si>
    <t>F0151</t>
  </si>
  <si>
    <t>Yield per Acre (kg)</t>
  </si>
  <si>
    <t>Loss Rate %</t>
  </si>
  <si>
    <t>Revenue (GHS)</t>
  </si>
  <si>
    <t>Gross Margin (GHS)</t>
  </si>
  <si>
    <t>Flag</t>
  </si>
  <si>
    <t>Crop Name</t>
  </si>
  <si>
    <t>District Name</t>
  </si>
  <si>
    <t>Count of Maize records</t>
  </si>
  <si>
    <t>Count of Rice records</t>
  </si>
  <si>
    <t>Count of Tomato records</t>
  </si>
  <si>
    <t>Count of Pepper records</t>
  </si>
  <si>
    <t>Count of Soybean records</t>
  </si>
  <si>
    <t>Count of Cassava records</t>
  </si>
  <si>
    <t>Total revenue for Maize</t>
  </si>
  <si>
    <t>Total revenue for Rice</t>
  </si>
  <si>
    <t>Total revenue for Tomato</t>
  </si>
  <si>
    <t>Total revenue for Pepper</t>
  </si>
  <si>
    <t>Total revenue for Soybean</t>
  </si>
  <si>
    <t>Total revenue for Cassava</t>
  </si>
  <si>
    <t>Total Input Cost by crop</t>
  </si>
  <si>
    <t>Gross Margin by crop</t>
  </si>
  <si>
    <t>% of Revenue</t>
  </si>
  <si>
    <t>Row Labels</t>
  </si>
  <si>
    <t>Grand Total</t>
  </si>
  <si>
    <t>Sum of Gross Margin (GHS)</t>
  </si>
  <si>
    <t>Sum of Revenue (GHS)</t>
  </si>
  <si>
    <t>Column Labels</t>
  </si>
  <si>
    <t>Average of Yield per Acre (kg)</t>
  </si>
  <si>
    <t>Average of Loss Rate %</t>
  </si>
  <si>
    <t>Average of Selling Price/kg (GHS)</t>
  </si>
  <si>
    <t>overall average</t>
  </si>
  <si>
    <t>Yield % of Crop Average</t>
  </si>
  <si>
    <t>Selling Price% of Crop Average</t>
  </si>
  <si>
    <t>Margin per Acre (GHS)</t>
  </si>
  <si>
    <t>Margin per Acre %</t>
  </si>
  <si>
    <t>Margin Concentration Across Crops and Districts</t>
  </si>
  <si>
    <t>Concentration reflects planted acreage more than farming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</si>
</sst>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8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4"/>
      <color rgb="FFFFFFFF"/>
      <name val="Carlito"/>
    </font>
    <font>
      <sz val="11"/>
      <name val="Carlito"/>
    </font>
    <font>
      <b/>
      <sz val="16"/>
      <name val="Carlito"/>
    </font>
    <font>
      <sz val="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 applyAlignment="1">
      <alignment vertical="center" wrapText="1"/>
    </xf>
    <xf numFmtId="14" fontId="0" fillId="0" borderId="0" xfId="0" applyNumberFormat="1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vertical="center" wrapText="1"/>
    </xf>
    <xf numFmtId="9" fontId="0" fillId="0" borderId="0" xfId="1" applyFont="1"/>
    <xf numFmtId="0" fontId="0" fillId="0" borderId="0" xfId="0" applyNumberFormat="1"/>
    <xf numFmtId="4" fontId="0" fillId="0" borderId="0" xfId="0" applyNumberFormat="1"/>
    <xf numFmtId="4" fontId="4" fillId="5" borderId="0" xfId="0" applyNumberFormat="1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9" fontId="0" fillId="0" borderId="0" xfId="0" applyNumberFormat="1"/>
    <xf numFmtId="170" fontId="0" fillId="0" borderId="0" xfId="0" applyNumberForma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3" formatCode="0%"/>
    </dxf>
    <dxf>
      <numFmt numFmtId="4" formatCode="#,##0.00"/>
    </dxf>
    <dxf>
      <numFmt numFmtId="170" formatCode="0.0%"/>
    </dxf>
    <dxf>
      <numFmt numFmtId="13" formatCode="0%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rlito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[Capstone_4_Agriculture_Cooperative.xlsx]Pivot!PivotTable5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Revenue</a:t>
            </a:r>
            <a:r>
              <a:rPr lang="en-GB" baseline="0">
                <a:solidFill>
                  <a:schemeClr val="tx1"/>
                </a:solidFill>
              </a:rPr>
              <a:t> &amp; Margin Drive per Crop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Gross Margin (GHS)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Tomato</c:v>
                </c:pt>
                <c:pt idx="1">
                  <c:v>Pepper</c:v>
                </c:pt>
                <c:pt idx="2">
                  <c:v>Rice</c:v>
                </c:pt>
                <c:pt idx="3">
                  <c:v>Cassava</c:v>
                </c:pt>
                <c:pt idx="4">
                  <c:v>Soybean</c:v>
                </c:pt>
                <c:pt idx="5">
                  <c:v>Maize</c:v>
                </c:pt>
              </c:strCache>
            </c:strRef>
          </c:cat>
          <c:val>
            <c:numRef>
              <c:f>Pivot!$B$4:$B$10</c:f>
              <c:numCache>
                <c:formatCode>#,##0.00</c:formatCode>
                <c:ptCount val="6"/>
                <c:pt idx="0">
                  <c:v>34941695.394000001</c:v>
                </c:pt>
                <c:pt idx="1">
                  <c:v>22972065.900000002</c:v>
                </c:pt>
                <c:pt idx="2">
                  <c:v>8368911.1699999999</c:v>
                </c:pt>
                <c:pt idx="3">
                  <c:v>7574519.4180000033</c:v>
                </c:pt>
                <c:pt idx="4">
                  <c:v>3278962.5390000008</c:v>
                </c:pt>
                <c:pt idx="5">
                  <c:v>2454054.1189999986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0-4631-BA9D-1DBDC3412F71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Revenue (GHS)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Tomato</c:v>
                </c:pt>
                <c:pt idx="1">
                  <c:v>Pepper</c:v>
                </c:pt>
                <c:pt idx="2">
                  <c:v>Rice</c:v>
                </c:pt>
                <c:pt idx="3">
                  <c:v>Cassava</c:v>
                </c:pt>
                <c:pt idx="4">
                  <c:v>Soybean</c:v>
                </c:pt>
                <c:pt idx="5">
                  <c:v>Maize</c:v>
                </c:pt>
              </c:strCache>
            </c:strRef>
          </c:cat>
          <c:val>
            <c:numRef>
              <c:f>Pivot!$C$4:$C$10</c:f>
              <c:numCache>
                <c:formatCode>#,##0.00</c:formatCode>
                <c:ptCount val="6"/>
                <c:pt idx="0">
                  <c:v>35966209.403999977</c:v>
                </c:pt>
                <c:pt idx="1">
                  <c:v>23685224.24000001</c:v>
                </c:pt>
                <c:pt idx="2">
                  <c:v>9296537.0100000016</c:v>
                </c:pt>
                <c:pt idx="3">
                  <c:v>8291839.4180000024</c:v>
                </c:pt>
                <c:pt idx="4">
                  <c:v>4099255.5890000006</c:v>
                </c:pt>
                <c:pt idx="5">
                  <c:v>3210206.0589999994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0-4631-BA9D-1DBDC3412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2116416"/>
        <c:axId val="612115456"/>
      </c:barChart>
      <c:catAx>
        <c:axId val="6121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15456"/>
        <c:crosses val="autoZero"/>
        <c:auto val="1"/>
        <c:lblAlgn val="ctr"/>
        <c:lblOffset val="100"/>
        <c:noMultiLvlLbl val="0"/>
      </c:catAx>
      <c:valAx>
        <c:axId val="612115456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6121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942974</xdr:colOff>
      <xdr:row>1</xdr:row>
      <xdr:rowOff>104775</xdr:rowOff>
    </xdr:from>
    <xdr:to>
      <xdr:col>11</xdr:col>
      <xdr:colOff>314324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5631A-913B-9EA8-E024-4D103F664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y Khin" refreshedDate="46287.200791203701" createdVersion="8" refreshedVersion="8" minRefreshableVersion="3" recordCount="500" xr:uid="{68E451E6-80BE-40D4-8668-B97382810ED0}">
  <cacheSource type="worksheet">
    <worksheetSource ref="A1:R501" sheet="Farm_Records_Cleaned"/>
  </cacheSource>
  <cacheFields count="18">
    <cacheField name="Farmer ID" numFmtId="0">
      <sharedItems/>
    </cacheField>
    <cacheField name="Record Date" numFmtId="14">
      <sharedItems containsSemiMixedTypes="0" containsNonDate="0" containsDate="1" containsString="0" minDate="2025-07-01T00:00:00" maxDate="2026-07-02T00:00:00"/>
    </cacheField>
    <cacheField name="District ID" numFmtId="0">
      <sharedItems/>
    </cacheField>
    <cacheField name="Crop ID" numFmtId="0">
      <sharedItems/>
    </cacheField>
    <cacheField name="Acres Cultivated" numFmtId="0">
      <sharedItems containsSemiMixedTypes="0" containsString="0" containsNumber="1" minValue="1" maxValue="15"/>
    </cacheField>
    <cacheField name="Harvest Quantity (kg)" numFmtId="0">
      <sharedItems containsSemiMixedTypes="0" containsString="0" containsNumber="1" minValue="1464.9" maxValue="143731.5"/>
    </cacheField>
    <cacheField name="Post-Harvest Loss (kg)" numFmtId="0">
      <sharedItems containsSemiMixedTypes="0" containsString="0" containsNumber="1" minValue="98.8" maxValue="20451.900000000001"/>
    </cacheField>
    <cacheField name="Quantity Sold (kg)" numFmtId="0">
      <sharedItems containsSemiMixedTypes="0" containsString="0" containsNumber="1" minValue="1366.1" maxValue="137366.79999999999"/>
    </cacheField>
    <cacheField name="Market Channel" numFmtId="0">
      <sharedItems/>
    </cacheField>
    <cacheField name="Selling Price/kg (GHS)" numFmtId="0">
      <sharedItems containsSemiMixedTypes="0" containsString="0" containsNumber="1" minValue="2.04" maxValue="10.77"/>
    </cacheField>
    <cacheField name="Input Cost (GHS)" numFmtId="0">
      <sharedItems containsSemiMixedTypes="0" containsString="0" containsNumber="1" minValue="783.76" maxValue="24540.959999999999"/>
    </cacheField>
    <cacheField name="Yield per Acre (kg)" numFmtId="0">
      <sharedItems containsSemiMixedTypes="0" containsString="0" containsNumber="1" minValue="976.6" maxValue="10051.153846153846"/>
    </cacheField>
    <cacheField name="Loss Rate %" numFmtId="9">
      <sharedItems containsSemiMixedTypes="0" containsString="0" containsNumber="1" minValue="2.000200736991526E-2" maxValue="0.15979610160466889"/>
    </cacheField>
    <cacheField name="Revenue (GHS)" numFmtId="4">
      <sharedItems containsSemiMixedTypes="0" containsString="0" containsNumber="1" minValue="7103.7199999999993" maxValue="1030250.9999999999"/>
    </cacheField>
    <cacheField name="Gross Margin (GHS)" numFmtId="4">
      <sharedItems containsSemiMixedTypes="0" containsString="0" containsNumber="1" minValue="5415.0160000000014" maxValue="1009614.4899999999"/>
    </cacheField>
    <cacheField name="Flag" numFmtId="0">
      <sharedItems/>
    </cacheField>
    <cacheField name="Crop Name" numFmtId="0">
      <sharedItems count="6">
        <s v="Maize"/>
        <s v="Tomato"/>
        <s v="Rice"/>
        <s v="Pepper"/>
        <s v="Cassava"/>
        <s v="Soybean"/>
      </sharedItems>
    </cacheField>
    <cacheField name="Distric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y Khin" refreshedDate="46287.203076157406" createdVersion="8" refreshedVersion="8" minRefreshableVersion="3" recordCount="500" xr:uid="{A6F1D8E7-1621-4F5F-A96C-536CBFED482D}">
  <cacheSource type="worksheet">
    <worksheetSource name="Table1"/>
  </cacheSource>
  <cacheFields count="18">
    <cacheField name="Farmer ID" numFmtId="0">
      <sharedItems/>
    </cacheField>
    <cacheField name="Record Date" numFmtId="14">
      <sharedItems containsSemiMixedTypes="0" containsNonDate="0" containsDate="1" containsString="0" minDate="2025-07-01T00:00:00" maxDate="2026-07-02T00:00:00"/>
    </cacheField>
    <cacheField name="District ID" numFmtId="0">
      <sharedItems/>
    </cacheField>
    <cacheField name="Crop ID" numFmtId="0">
      <sharedItems/>
    </cacheField>
    <cacheField name="Acres Cultivated" numFmtId="0">
      <sharedItems containsSemiMixedTypes="0" containsString="0" containsNumber="1" minValue="1" maxValue="15"/>
    </cacheField>
    <cacheField name="Harvest Quantity (kg)" numFmtId="0">
      <sharedItems containsSemiMixedTypes="0" containsString="0" containsNumber="1" minValue="1464.9" maxValue="143731.5"/>
    </cacheField>
    <cacheField name="Post-Harvest Loss (kg)" numFmtId="0">
      <sharedItems containsSemiMixedTypes="0" containsString="0" containsNumber="1" minValue="98.8" maxValue="20451.900000000001"/>
    </cacheField>
    <cacheField name="Quantity Sold (kg)" numFmtId="0">
      <sharedItems containsSemiMixedTypes="0" containsString="0" containsNumber="1" minValue="1366.1" maxValue="137366.79999999999"/>
    </cacheField>
    <cacheField name="Market Channel" numFmtId="0">
      <sharedItems/>
    </cacheField>
    <cacheField name="Selling Price/kg (GHS)" numFmtId="0">
      <sharedItems containsSemiMixedTypes="0" containsString="0" containsNumber="1" minValue="2.04" maxValue="10.77"/>
    </cacheField>
    <cacheField name="Input Cost (GHS)" numFmtId="0">
      <sharedItems containsSemiMixedTypes="0" containsString="0" containsNumber="1" minValue="783.76" maxValue="24540.959999999999"/>
    </cacheField>
    <cacheField name="Yield per Acre (kg)" numFmtId="0">
      <sharedItems containsSemiMixedTypes="0" containsString="0" containsNumber="1" minValue="976.6" maxValue="10051.153846153846"/>
    </cacheField>
    <cacheField name="Loss Rate %" numFmtId="9">
      <sharedItems containsSemiMixedTypes="0" containsString="0" containsNumber="1" minValue="2.000200736991526E-2" maxValue="0.15979610160466889"/>
    </cacheField>
    <cacheField name="Revenue (GHS)" numFmtId="4">
      <sharedItems containsSemiMixedTypes="0" containsString="0" containsNumber="1" minValue="7103.7199999999993" maxValue="1030250.9999999999"/>
    </cacheField>
    <cacheField name="Gross Margin (GHS)" numFmtId="4">
      <sharedItems containsSemiMixedTypes="0" containsString="0" containsNumber="1" minValue="5415.0160000000014" maxValue="1009614.4899999999"/>
    </cacheField>
    <cacheField name="Flag" numFmtId="0">
      <sharedItems/>
    </cacheField>
    <cacheField name="Crop Name" numFmtId="0">
      <sharedItems count="6">
        <s v="Maize"/>
        <s v="Tomato"/>
        <s v="Rice"/>
        <s v="Pepper"/>
        <s v="Cassava"/>
        <s v="Soybean"/>
      </sharedItems>
    </cacheField>
    <cacheField name="District Name" numFmtId="0">
      <sharedItems count="5">
        <s v="Tamale Metro"/>
        <s v="Hohoe"/>
        <s v="Kintampo"/>
        <s v="Ejura"/>
        <s v="Techim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F0128"/>
    <d v="2025-07-15T00:00:00"/>
    <s v="D03"/>
    <s v="C01"/>
    <n v="10.5"/>
    <n v="21319.7"/>
    <n v="2059.4"/>
    <n v="19260.3"/>
    <s v="Wholesaler"/>
    <n v="3.44"/>
    <n v="15514.19"/>
    <n v="2030.4476190476191"/>
    <n v="9.6596105948958011E-2"/>
    <n v="66255.432000000001"/>
    <n v="50741.241999999998"/>
    <s v="OK"/>
    <x v="0"/>
    <s v="Tamale Metro"/>
  </r>
  <r>
    <s v="F0174"/>
    <d v="2025-07-18T00:00:00"/>
    <s v="D05"/>
    <s v="C03"/>
    <n v="8.9"/>
    <n v="85227.8"/>
    <n v="6234.1"/>
    <n v="78993.7"/>
    <s v="Processor"/>
    <n v="7.38"/>
    <n v="9897.9"/>
    <n v="9576.1573033707864"/>
    <n v="7.3146320801428646E-2"/>
    <n v="582973.50599999994"/>
    <n v="573075.60599999991"/>
    <s v="OK"/>
    <x v="1"/>
    <s v="Hohoe"/>
  </r>
  <r>
    <s v="F0109"/>
    <d v="2025-07-31T00:00:00"/>
    <s v="D04"/>
    <s v="C02"/>
    <n v="14.6"/>
    <n v="23614.400000000001"/>
    <n v="1146.9000000000001"/>
    <n v="22467.5"/>
    <s v="Processor"/>
    <n v="5.0199999999999996"/>
    <n v="13966.62"/>
    <n v="1617.4246575342468"/>
    <n v="4.8567823023240059E-2"/>
    <n v="112786.84999999999"/>
    <n v="98820.23"/>
    <s v="OK"/>
    <x v="2"/>
    <s v="Kintampo"/>
  </r>
  <r>
    <s v="F0186"/>
    <d v="2025-08-05T00:00:00"/>
    <s v="D03"/>
    <s v="C04"/>
    <n v="5.3"/>
    <n v="23649.200000000001"/>
    <n v="561.9"/>
    <n v="23087.3"/>
    <s v="Farm Gate"/>
    <n v="10.29"/>
    <n v="6689.27"/>
    <n v="4462.1132075471705"/>
    <n v="2.375978891463559E-2"/>
    <n v="237568.31699999998"/>
    <n v="230879.04699999999"/>
    <s v="OK"/>
    <x v="3"/>
    <s v="Tamale Metro"/>
  </r>
  <r>
    <s v="F0162"/>
    <d v="2025-11-06T00:00:00"/>
    <s v="D05"/>
    <s v="C03"/>
    <n v="6.5"/>
    <n v="35848.5"/>
    <n v="2534"/>
    <n v="33314.5"/>
    <s v="Processor"/>
    <n v="6.85"/>
    <n v="9552.4"/>
    <n v="5515.1538461538457"/>
    <n v="7.0686360656652306E-2"/>
    <n v="228204.32499999998"/>
    <n v="218651.92499999999"/>
    <s v="OK"/>
    <x v="1"/>
    <s v="Hohoe"/>
  </r>
  <r>
    <s v="F0166"/>
    <d v="2025-09-02T00:00:00"/>
    <s v="D01"/>
    <s v="C06"/>
    <n v="10.7"/>
    <n v="65606.600000000006"/>
    <n v="5542.3"/>
    <n v="60064.3"/>
    <s v="Processor"/>
    <n v="2.16"/>
    <n v="14864.02"/>
    <n v="6131.4579439252348"/>
    <n v="8.4477781198842791E-2"/>
    <n v="129738.88800000002"/>
    <n v="114874.86800000002"/>
    <s v="OK"/>
    <x v="4"/>
    <s v="Ejura"/>
  </r>
  <r>
    <s v="F0193"/>
    <d v="2026-01-24T00:00:00"/>
    <s v="D03"/>
    <s v="C03"/>
    <n v="2.6"/>
    <n v="19136.5"/>
    <n v="2597.1999999999998"/>
    <n v="16539.3"/>
    <s v="Farm Gate"/>
    <n v="7.45"/>
    <n v="2771.29"/>
    <n v="7360.1923076923076"/>
    <n v="0.13571969795939695"/>
    <n v="123217.785"/>
    <n v="120446.49500000001"/>
    <s v="OK"/>
    <x v="1"/>
    <s v="Tamale Metro"/>
  </r>
  <r>
    <s v="F0066"/>
    <d v="2025-09-11T00:00:00"/>
    <s v="D05"/>
    <s v="C02"/>
    <n v="14.3"/>
    <n v="38915.4"/>
    <n v="3453.4"/>
    <n v="35462"/>
    <s v="Wholesaler"/>
    <n v="5.31"/>
    <n v="11122.26"/>
    <n v="2721.3566433566434"/>
    <n v="8.874121812958366E-2"/>
    <n v="188303.21999999997"/>
    <n v="177180.95999999996"/>
    <s v="OK"/>
    <x v="2"/>
    <s v="Hohoe"/>
  </r>
  <r>
    <s v="F0054"/>
    <d v="2026-01-26T00:00:00"/>
    <s v="D02"/>
    <s v="C04"/>
    <n v="1.9"/>
    <n v="8780.2999999999993"/>
    <n v="511.5"/>
    <n v="8268.7999999999993"/>
    <s v="Farm Gate"/>
    <n v="8.15"/>
    <n v="2517.2399999999998"/>
    <n v="4621.2105263157891"/>
    <n v="5.8255412685215772E-2"/>
    <n v="67390.720000000001"/>
    <n v="64873.48"/>
    <s v="OK"/>
    <x v="3"/>
    <s v="Techiman"/>
  </r>
  <r>
    <s v="F0007"/>
    <d v="2025-09-20T00:00:00"/>
    <s v="D02"/>
    <s v="C04"/>
    <n v="5.6"/>
    <n v="30015.3"/>
    <n v="2728.7"/>
    <n v="27286.6"/>
    <s v="Local Market"/>
    <n v="9.68"/>
    <n v="4086.39"/>
    <n v="5359.875"/>
    <n v="9.091030241243632E-2"/>
    <n v="264134.288"/>
    <n v="260047.89799999999"/>
    <s v="OK"/>
    <x v="3"/>
    <s v="Techiman"/>
  </r>
  <r>
    <s v="F0033"/>
    <d v="2026-05-04T00:00:00"/>
    <s v="D01"/>
    <s v="C05"/>
    <n v="3.3"/>
    <n v="3500.2"/>
    <n v="252.2"/>
    <n v="3248"/>
    <s v="Local Market"/>
    <n v="4.55"/>
    <n v="5777.89"/>
    <n v="1060.6666666666667"/>
    <n v="7.2053025541397642E-2"/>
    <n v="14778.4"/>
    <n v="9000.5099999999984"/>
    <s v="OK"/>
    <x v="5"/>
    <s v="Ejura"/>
  </r>
  <r>
    <s v="F0093"/>
    <d v="2025-10-18T00:00:00"/>
    <s v="D05"/>
    <s v="C02"/>
    <n v="7.2"/>
    <n v="19481.8"/>
    <n v="2064.3000000000002"/>
    <n v="17417.5"/>
    <s v="Farm Gate"/>
    <n v="6.95"/>
    <n v="10411.07"/>
    <n v="2705.8055555555552"/>
    <n v="0.10596043486741473"/>
    <n v="121051.625"/>
    <n v="110640.55499999999"/>
    <s v="OK"/>
    <x v="2"/>
    <s v="Hohoe"/>
  </r>
  <r>
    <s v="F0176"/>
    <d v="2025-07-29T00:00:00"/>
    <s v="D03"/>
    <s v="C03"/>
    <n v="10.7"/>
    <n v="107180.5"/>
    <n v="8191.9"/>
    <n v="98988.6"/>
    <s v="Farm Gate"/>
    <n v="7.72"/>
    <n v="17232.07"/>
    <n v="10016.869158878506"/>
    <n v="7.6430880617276459E-2"/>
    <n v="764191.99199999997"/>
    <n v="746959.92200000002"/>
    <s v="OK"/>
    <x v="1"/>
    <s v="Tamale Metro"/>
  </r>
  <r>
    <s v="F0213"/>
    <d v="2026-03-02T00:00:00"/>
    <s v="D02"/>
    <s v="C05"/>
    <n v="12"/>
    <n v="21845.4"/>
    <n v="1774.4"/>
    <n v="20071"/>
    <s v="Local Market"/>
    <n v="4.21"/>
    <n v="18488.91"/>
    <n v="1820.45"/>
    <n v="8.1225338057440005E-2"/>
    <n v="84498.91"/>
    <n v="66010"/>
    <s v="OK"/>
    <x v="5"/>
    <s v="Techiman"/>
  </r>
  <r>
    <s v="F0172"/>
    <d v="2026-04-02T00:00:00"/>
    <s v="D05"/>
    <s v="C02"/>
    <n v="2.1"/>
    <n v="3757.2"/>
    <n v="552.70000000000005"/>
    <n v="3204.5"/>
    <s v="Local Market"/>
    <n v="5.31"/>
    <n v="3041.08"/>
    <n v="1789.1428571428569"/>
    <n v="0.14710422655168745"/>
    <n v="17015.895"/>
    <n v="13974.815000000001"/>
    <s v="OK"/>
    <x v="2"/>
    <s v="Hohoe"/>
  </r>
  <r>
    <s v="F0164"/>
    <d v="2025-10-31T00:00:00"/>
    <s v="D02"/>
    <s v="C02"/>
    <n v="2.2000000000000002"/>
    <n v="5789.3"/>
    <n v="563.29999999999995"/>
    <n v="5226"/>
    <s v="Processor"/>
    <n v="5.96"/>
    <n v="2220.58"/>
    <n v="2631.5"/>
    <n v="9.7300191733024705E-2"/>
    <n v="31146.959999999999"/>
    <n v="28926.379999999997"/>
    <s v="OK"/>
    <x v="2"/>
    <s v="Techiman"/>
  </r>
  <r>
    <s v="F0042"/>
    <d v="2026-02-04T00:00:00"/>
    <s v="D04"/>
    <s v="C03"/>
    <n v="13.6"/>
    <n v="115504.3"/>
    <n v="16132.6"/>
    <n v="99371.7"/>
    <s v="Farm Gate"/>
    <n v="7.63"/>
    <n v="20302.55"/>
    <n v="8492.9632352941189"/>
    <n v="0.13967099060381302"/>
    <n v="758206.071"/>
    <n v="737903.52099999995"/>
    <s v="OK"/>
    <x v="1"/>
    <s v="Kintampo"/>
  </r>
  <r>
    <s v="F0136"/>
    <d v="2025-07-24T00:00:00"/>
    <s v="D01"/>
    <s v="C03"/>
    <n v="12.9"/>
    <n v="92115.3"/>
    <n v="2849.8"/>
    <n v="89265.5"/>
    <s v="Processor"/>
    <n v="5.91"/>
    <n v="15299.64"/>
    <n v="7140.7209302325582"/>
    <n v="3.0937314430936013E-2"/>
    <n v="527559.10499999998"/>
    <n v="512259.46499999997"/>
    <s v="OK"/>
    <x v="1"/>
    <s v="Ejura"/>
  </r>
  <r>
    <s v="F0190"/>
    <d v="2026-02-07T00:00:00"/>
    <s v="D03"/>
    <s v="C05"/>
    <n v="7.8"/>
    <n v="12493.9"/>
    <n v="441.2"/>
    <n v="12052.7"/>
    <s v="Processor"/>
    <n v="4.87"/>
    <n v="12082.17"/>
    <n v="1601.7820512820513"/>
    <n v="3.5313232857634526E-2"/>
    <n v="58696.649000000005"/>
    <n v="46614.479000000007"/>
    <s v="OK"/>
    <x v="5"/>
    <s v="Tamale Metro"/>
  </r>
  <r>
    <s v="F0002"/>
    <d v="2025-07-10T00:00:00"/>
    <s v="D01"/>
    <s v="C05"/>
    <n v="6.7"/>
    <n v="13190.3"/>
    <n v="439.3"/>
    <n v="12751"/>
    <s v="Wholesaler"/>
    <n v="5.22"/>
    <n v="5008.09"/>
    <n v="1968.7014925373132"/>
    <n v="3.3304776995216182E-2"/>
    <n v="66560.22"/>
    <n v="61552.130000000005"/>
    <s v="OK"/>
    <x v="5"/>
    <s v="Ejura"/>
  </r>
  <r>
    <s v="F0038"/>
    <d v="2026-04-12T00:00:00"/>
    <s v="D05"/>
    <s v="C04"/>
    <n v="3.8"/>
    <n v="19524.8"/>
    <n v="2536.8000000000002"/>
    <n v="16988"/>
    <s v="Farm Gate"/>
    <n v="8.31"/>
    <n v="6059.77"/>
    <n v="5138.105263157895"/>
    <n v="0.12992706711464394"/>
    <n v="141170.28"/>
    <n v="135110.51"/>
    <s v="OK"/>
    <x v="3"/>
    <s v="Hohoe"/>
  </r>
  <r>
    <s v="F0092"/>
    <d v="2026-06-06T00:00:00"/>
    <s v="D04"/>
    <s v="C06"/>
    <n v="7"/>
    <n v="53598.9"/>
    <n v="4311.7"/>
    <n v="49287.199999999997"/>
    <s v="Farm Gate"/>
    <n v="2.69"/>
    <n v="6886.83"/>
    <n v="7656.9857142857145"/>
    <n v="8.0443815078294512E-2"/>
    <n v="132582.568"/>
    <n v="125695.738"/>
    <s v="OK"/>
    <x v="4"/>
    <s v="Kintampo"/>
  </r>
  <r>
    <s v="F0154"/>
    <d v="2025-12-27T00:00:00"/>
    <s v="D05"/>
    <s v="C06"/>
    <n v="7.3"/>
    <n v="56037.4"/>
    <n v="7311.7"/>
    <n v="48725.7"/>
    <s v="Processor"/>
    <n v="2.27"/>
    <n v="8292.6200000000008"/>
    <n v="7676.3561643835619"/>
    <n v="0.13047893014308301"/>
    <n v="110607.33899999999"/>
    <n v="102314.719"/>
    <s v="OK"/>
    <x v="4"/>
    <s v="Hohoe"/>
  </r>
  <r>
    <s v="F0140"/>
    <d v="2025-08-25T00:00:00"/>
    <s v="D03"/>
    <s v="C02"/>
    <n v="8.5"/>
    <n v="20220.900000000001"/>
    <n v="1942.1"/>
    <n v="18278.8"/>
    <s v="Processor"/>
    <n v="6.82"/>
    <n v="13626.91"/>
    <n v="2378.9294117647059"/>
    <n v="9.6044191900459416E-2"/>
    <n v="124661.416"/>
    <n v="111034.50599999999"/>
    <s v="OK"/>
    <x v="2"/>
    <s v="Tamale Metro"/>
  </r>
  <r>
    <s v="F0064"/>
    <d v="2026-01-27T00:00:00"/>
    <s v="D03"/>
    <s v="C01"/>
    <n v="8.9"/>
    <n v="14528.1"/>
    <n v="1525.2"/>
    <n v="13002.9"/>
    <s v="Local Market"/>
    <n v="3.79"/>
    <n v="12986.23"/>
    <n v="1632.370786516854"/>
    <n v="0.10498275755260496"/>
    <n v="49280.991000000002"/>
    <n v="36294.760999999999"/>
    <s v="OK"/>
    <x v="0"/>
    <s v="Tamale Metro"/>
  </r>
  <r>
    <s v="F0012"/>
    <d v="2026-04-19T00:00:00"/>
    <s v="D04"/>
    <s v="C01"/>
    <n v="15"/>
    <n v="29249.8"/>
    <n v="1250.8"/>
    <n v="27999"/>
    <s v="Wholesaler"/>
    <n v="2.99"/>
    <n v="12276.47"/>
    <n v="1949.9866666666667"/>
    <n v="4.2762685556824317E-2"/>
    <n v="83717.010000000009"/>
    <n v="71440.540000000008"/>
    <s v="OK"/>
    <x v="0"/>
    <s v="Kintampo"/>
  </r>
  <r>
    <s v="F0098"/>
    <d v="2025-12-22T00:00:00"/>
    <s v="D02"/>
    <s v="C02"/>
    <n v="6"/>
    <n v="11042.2"/>
    <n v="863.5"/>
    <n v="10178.700000000001"/>
    <s v="Local Market"/>
    <n v="4.97"/>
    <n v="5788.26"/>
    <n v="1840.3666666666668"/>
    <n v="7.8199996377533457E-2"/>
    <n v="50588.139000000003"/>
    <n v="44799.879000000001"/>
    <s v="OK"/>
    <x v="2"/>
    <s v="Techiman"/>
  </r>
  <r>
    <s v="F0063"/>
    <d v="2026-01-22T00:00:00"/>
    <s v="D03"/>
    <s v="C02"/>
    <n v="12.9"/>
    <n v="26760"/>
    <n v="3173.3"/>
    <n v="23586.7"/>
    <s v="Farm Gate"/>
    <n v="6.48"/>
    <n v="15846.65"/>
    <n v="2074.4186046511627"/>
    <n v="0.11858370702541107"/>
    <n v="152841.81600000002"/>
    <n v="136995.16600000003"/>
    <s v="OK"/>
    <x v="2"/>
    <s v="Tamale Metro"/>
  </r>
  <r>
    <s v="F0049"/>
    <d v="2026-05-11T00:00:00"/>
    <s v="D05"/>
    <s v="C05"/>
    <n v="13.4"/>
    <n v="14163.1"/>
    <n v="2072.1"/>
    <n v="12091"/>
    <s v="Wholesaler"/>
    <n v="5.36"/>
    <n v="12492.51"/>
    <n v="1056.9477611940299"/>
    <n v="0.14630271621325838"/>
    <n v="64807.76"/>
    <n v="52315.25"/>
    <s v="OK"/>
    <x v="5"/>
    <s v="Hohoe"/>
  </r>
  <r>
    <s v="F0143"/>
    <d v="2025-09-12T00:00:00"/>
    <s v="D03"/>
    <s v="C04"/>
    <n v="1.9"/>
    <n v="12182.2"/>
    <n v="910"/>
    <n v="11272.2"/>
    <s v="Wholesaler"/>
    <n v="9.7799999999999994"/>
    <n v="1926.57"/>
    <n v="6411.6842105263167"/>
    <n v="7.4699151220633378E-2"/>
    <n v="110242.11599999999"/>
    <n v="108315.54599999999"/>
    <s v="OK"/>
    <x v="3"/>
    <s v="Tamale Metro"/>
  </r>
  <r>
    <s v="F0114"/>
    <d v="2026-06-28T00:00:00"/>
    <s v="D01"/>
    <s v="C06"/>
    <n v="4.7"/>
    <n v="32979.9"/>
    <n v="1452.6"/>
    <n v="31527.3"/>
    <s v="Processor"/>
    <n v="2.73"/>
    <n v="3441.09"/>
    <n v="7017"/>
    <n v="4.4045009232896393E-2"/>
    <n v="86069.528999999995"/>
    <n v="82628.438999999998"/>
    <s v="OK"/>
    <x v="4"/>
    <s v="Ejura"/>
  </r>
  <r>
    <s v="F0140"/>
    <d v="2025-07-19T00:00:00"/>
    <s v="D01"/>
    <s v="C06"/>
    <n v="7.8"/>
    <n v="35529.199999999997"/>
    <n v="2377.6"/>
    <n v="33151.599999999999"/>
    <s v="Processor"/>
    <n v="2.54"/>
    <n v="11431.77"/>
    <n v="4555.0256410256407"/>
    <n v="6.6919604156581075E-2"/>
    <n v="84205.063999999998"/>
    <n v="72773.293999999994"/>
    <s v="OK"/>
    <x v="4"/>
    <s v="Ejura"/>
  </r>
  <r>
    <s v="F0057"/>
    <d v="2025-12-20T00:00:00"/>
    <s v="D05"/>
    <s v="C05"/>
    <n v="10.3"/>
    <n v="13728.5"/>
    <n v="434.1"/>
    <n v="13294.4"/>
    <s v="Farm Gate"/>
    <n v="5.23"/>
    <n v="12199.7"/>
    <n v="1332.8640776699028"/>
    <n v="3.1620351822850279E-2"/>
    <n v="69529.712"/>
    <n v="57330.012000000002"/>
    <s v="OK"/>
    <x v="5"/>
    <s v="Hohoe"/>
  </r>
  <r>
    <s v="F0205"/>
    <d v="2026-01-04T00:00:00"/>
    <s v="D03"/>
    <s v="C06"/>
    <n v="8.1"/>
    <n v="32729.599999999999"/>
    <n v="1801.9"/>
    <n v="30927.7"/>
    <s v="Farm Gate"/>
    <n v="2.19"/>
    <n v="6146.74"/>
    <n v="4040.6913580246915"/>
    <n v="5.5054140594446625E-2"/>
    <n v="67731.663"/>
    <n v="61584.923000000003"/>
    <s v="OK"/>
    <x v="4"/>
    <s v="Tamale Metro"/>
  </r>
  <r>
    <s v="F0107"/>
    <d v="2025-07-07T00:00:00"/>
    <s v="D04"/>
    <s v="C02"/>
    <n v="5"/>
    <n v="9246.7000000000007"/>
    <n v="711"/>
    <n v="8535.7000000000007"/>
    <s v="Farm Gate"/>
    <n v="5.25"/>
    <n v="8339.42"/>
    <n v="1849.3400000000001"/>
    <n v="7.6892296711259148E-2"/>
    <n v="44812.425000000003"/>
    <n v="36473.005000000005"/>
    <s v="OK"/>
    <x v="2"/>
    <s v="Kintampo"/>
  </r>
  <r>
    <s v="F0147"/>
    <d v="2025-08-16T00:00:00"/>
    <s v="D04"/>
    <s v="C05"/>
    <n v="10.3"/>
    <n v="19790.099999999999"/>
    <n v="1470.3"/>
    <n v="18319.8"/>
    <s v="Processor"/>
    <n v="4.3600000000000003"/>
    <n v="15824.81"/>
    <n v="1921.3689320388346"/>
    <n v="7.4294723119135334E-2"/>
    <n v="79874.328000000009"/>
    <n v="64049.518000000011"/>
    <s v="OK"/>
    <x v="5"/>
    <s v="Kintampo"/>
  </r>
  <r>
    <s v="F0181"/>
    <d v="2025-10-15T00:00:00"/>
    <s v="D01"/>
    <s v="C05"/>
    <n v="11.9"/>
    <n v="12507.4"/>
    <n v="556.79999999999995"/>
    <n v="11950.6"/>
    <s v="Local Market"/>
    <n v="5.12"/>
    <n v="8108.69"/>
    <n v="1051.0420168067226"/>
    <n v="4.4517645553832128E-2"/>
    <n v="61187.072"/>
    <n v="53078.381999999998"/>
    <s v="OK"/>
    <x v="5"/>
    <s v="Ejura"/>
  </r>
  <r>
    <s v="F0188"/>
    <d v="2025-08-09T00:00:00"/>
    <s v="D04"/>
    <s v="C01"/>
    <n v="12"/>
    <n v="15728.1"/>
    <n v="1013.9"/>
    <n v="14714.2"/>
    <s v="Processor"/>
    <n v="2.73"/>
    <n v="15109.5"/>
    <n v="1310.675"/>
    <n v="6.446423916429829E-2"/>
    <n v="40169.766000000003"/>
    <n v="25060.266000000003"/>
    <s v="OK"/>
    <x v="0"/>
    <s v="Kintampo"/>
  </r>
  <r>
    <s v="F0073"/>
    <d v="2025-10-20T00:00:00"/>
    <s v="D02"/>
    <s v="C01"/>
    <n v="13.4"/>
    <n v="23211.599999999999"/>
    <n v="2893.1"/>
    <n v="20318.5"/>
    <s v="Processor"/>
    <n v="2.95"/>
    <n v="20095.439999999999"/>
    <n v="1732.2089552238804"/>
    <n v="0.12464026607385963"/>
    <n v="59939.575000000004"/>
    <n v="39844.135000000009"/>
    <s v="OK"/>
    <x v="0"/>
    <s v="Techiman"/>
  </r>
  <r>
    <s v="F0220"/>
    <d v="2025-11-30T00:00:00"/>
    <s v="D03"/>
    <s v="C02"/>
    <n v="9.9"/>
    <n v="17039.400000000001"/>
    <n v="1144.2"/>
    <n v="15895.2"/>
    <s v="Wholesaler"/>
    <n v="6.54"/>
    <n v="16321.46"/>
    <n v="1721.1515151515152"/>
    <n v="6.7150251769428501E-2"/>
    <n v="103954.60800000001"/>
    <n v="87633.148000000016"/>
    <s v="OK"/>
    <x v="2"/>
    <s v="Tamale Metro"/>
  </r>
  <r>
    <s v="F0125"/>
    <d v="2026-01-26T00:00:00"/>
    <s v="D01"/>
    <s v="C06"/>
    <n v="14.8"/>
    <n v="96602.5"/>
    <n v="14579.7"/>
    <n v="82022.8"/>
    <s v="Local Market"/>
    <n v="2.54"/>
    <n v="13777.98"/>
    <n v="6527.1959459459458"/>
    <n v="0.15092466551072695"/>
    <n v="208337.91200000001"/>
    <n v="194559.932"/>
    <s v="OK"/>
    <x v="4"/>
    <s v="Ejura"/>
  </r>
  <r>
    <s v="F0093"/>
    <d v="2026-05-09T00:00:00"/>
    <s v="D02"/>
    <s v="C03"/>
    <n v="10.199999999999999"/>
    <n v="71903.399999999994"/>
    <n v="6902.9"/>
    <n v="65000.5"/>
    <s v="Farm Gate"/>
    <n v="7"/>
    <n v="12168.69"/>
    <n v="7049.3529411764703"/>
    <n v="9.6002414350364523E-2"/>
    <n v="455003.5"/>
    <n v="442834.81"/>
    <s v="OK"/>
    <x v="1"/>
    <s v="Techiman"/>
  </r>
  <r>
    <s v="F0165"/>
    <d v="2026-01-29T00:00:00"/>
    <s v="D04"/>
    <s v="C05"/>
    <n v="14.7"/>
    <n v="28520.1"/>
    <n v="3960"/>
    <n v="24560.1"/>
    <s v="Wholesaler"/>
    <n v="4.5"/>
    <n v="23654.05"/>
    <n v="1940.1428571428571"/>
    <n v="0.13884944302439334"/>
    <n v="110520.45"/>
    <n v="86866.4"/>
    <s v="OK"/>
    <x v="5"/>
    <s v="Kintampo"/>
  </r>
  <r>
    <s v="F0054"/>
    <d v="2026-03-13T00:00:00"/>
    <s v="D02"/>
    <s v="C03"/>
    <n v="12.6"/>
    <n v="88116.1"/>
    <n v="10493.9"/>
    <n v="77622.2"/>
    <s v="Farm Gate"/>
    <n v="6.19"/>
    <n v="22479.17"/>
    <n v="6993.3412698412703"/>
    <n v="0.11909174373355152"/>
    <n v="480481.41800000001"/>
    <n v="458002.24800000002"/>
    <s v="OK"/>
    <x v="1"/>
    <s v="Techiman"/>
  </r>
  <r>
    <s v="F0083"/>
    <d v="2026-01-14T00:00:00"/>
    <s v="D04"/>
    <s v="C01"/>
    <n v="7.8"/>
    <n v="9282.1"/>
    <n v="519.29999999999995"/>
    <n v="8762.7999999999993"/>
    <s v="Farm Gate"/>
    <n v="3.58"/>
    <n v="12499.58"/>
    <n v="1190.0128205128206"/>
    <n v="5.5946391441591872E-2"/>
    <n v="31370.823999999997"/>
    <n v="18871.243999999999"/>
    <s v="OK"/>
    <x v="0"/>
    <s v="Kintampo"/>
  </r>
  <r>
    <s v="F0049"/>
    <d v="2026-05-03T00:00:00"/>
    <s v="D05"/>
    <s v="C05"/>
    <n v="9.4"/>
    <n v="12288.5"/>
    <n v="1562.8"/>
    <n v="10725.7"/>
    <s v="Wholesaler"/>
    <n v="5.34"/>
    <n v="15614.01"/>
    <n v="1307.2872340425531"/>
    <n v="0.1271758147861822"/>
    <n v="57275.238000000005"/>
    <n v="41661.228000000003"/>
    <s v="OK"/>
    <x v="5"/>
    <s v="Hohoe"/>
  </r>
  <r>
    <s v="F0052"/>
    <d v="2026-04-04T00:00:00"/>
    <s v="D05"/>
    <s v="C01"/>
    <n v="14.7"/>
    <n v="35237.1"/>
    <n v="3896.2"/>
    <n v="31340.9"/>
    <s v="Wholesaler"/>
    <n v="2.92"/>
    <n v="17264.919999999998"/>
    <n v="2397.0816326530612"/>
    <n v="0.1105709607203771"/>
    <n v="91515.428"/>
    <n v="74250.508000000002"/>
    <s v="OK"/>
    <x v="0"/>
    <s v="Hohoe"/>
  </r>
  <r>
    <s v="F0030"/>
    <d v="2025-11-03T00:00:00"/>
    <s v="D01"/>
    <s v="C05"/>
    <n v="2.7"/>
    <n v="4689.6000000000004"/>
    <n v="446.2"/>
    <n v="4243.3999999999996"/>
    <s v="Local Market"/>
    <n v="4.03"/>
    <n v="3826.38"/>
    <n v="1736.8888888888889"/>
    <n v="9.514670760832479E-2"/>
    <n v="17100.901999999998"/>
    <n v="13274.521999999997"/>
    <s v="OK"/>
    <x v="5"/>
    <s v="Ejura"/>
  </r>
  <r>
    <s v="F0022"/>
    <d v="2026-06-08T00:00:00"/>
    <s v="D02"/>
    <s v="C02"/>
    <n v="1.4"/>
    <n v="3458.5"/>
    <n v="529.29999999999995"/>
    <n v="2929.2"/>
    <s v="Farm Gate"/>
    <n v="5.73"/>
    <n v="1696.07"/>
    <n v="2470.3571428571431"/>
    <n v="0.15304322683244179"/>
    <n v="16784.315999999999"/>
    <n v="15088.245999999999"/>
    <s v="OK"/>
    <x v="2"/>
    <s v="Techiman"/>
  </r>
  <r>
    <s v="F0170"/>
    <d v="2025-07-28T00:00:00"/>
    <s v="D04"/>
    <s v="C01"/>
    <n v="11.4"/>
    <n v="16399.7"/>
    <n v="1133.5"/>
    <n v="15266.2"/>
    <s v="Farm Gate"/>
    <n v="3.16"/>
    <n v="9250.7900000000009"/>
    <n v="1438.5701754385966"/>
    <n v="6.9117117996060906E-2"/>
    <n v="48241.192000000003"/>
    <n v="38990.402000000002"/>
    <s v="OK"/>
    <x v="0"/>
    <s v="Kintampo"/>
  </r>
  <r>
    <s v="F0039"/>
    <d v="2025-07-20T00:00:00"/>
    <s v="D02"/>
    <s v="C02"/>
    <n v="7.5"/>
    <n v="14758.8"/>
    <n v="2198.6"/>
    <n v="12560.2"/>
    <s v="Local Market"/>
    <n v="6.59"/>
    <n v="8238.25"/>
    <n v="1967.84"/>
    <n v="0.14896875084695232"/>
    <n v="82771.718000000008"/>
    <n v="74533.468000000008"/>
    <s v="OK"/>
    <x v="2"/>
    <s v="Techiman"/>
  </r>
  <r>
    <s v="F0017"/>
    <d v="2026-05-18T00:00:00"/>
    <s v="D02"/>
    <s v="C05"/>
    <n v="10.4"/>
    <n v="13805.3"/>
    <n v="2144.6"/>
    <n v="11660.7"/>
    <s v="Processor"/>
    <n v="5.34"/>
    <n v="6785.53"/>
    <n v="1327.4326923076922"/>
    <n v="0.15534613517996712"/>
    <n v="62268.137999999999"/>
    <n v="55482.608"/>
    <s v="OK"/>
    <x v="5"/>
    <s v="Techiman"/>
  </r>
  <r>
    <s v="F0004"/>
    <d v="2026-01-11T00:00:00"/>
    <s v="D03"/>
    <s v="C01"/>
    <n v="4.8"/>
    <n v="7109.2"/>
    <n v="407.3"/>
    <n v="6701.9"/>
    <s v="Farm Gate"/>
    <n v="3.8"/>
    <n v="8185.27"/>
    <n v="1481.0833333333333"/>
    <n v="5.7291959714173189E-2"/>
    <n v="25467.219999999998"/>
    <n v="17281.949999999997"/>
    <s v="OK"/>
    <x v="0"/>
    <s v="Tamale Metro"/>
  </r>
  <r>
    <s v="F0088"/>
    <d v="2026-03-14T00:00:00"/>
    <s v="D05"/>
    <s v="C05"/>
    <n v="13.5"/>
    <n v="27203.8"/>
    <n v="770.1"/>
    <n v="26433.7"/>
    <s v="Wholesaler"/>
    <n v="4.9400000000000004"/>
    <n v="16004.46"/>
    <n v="2015.0962962962963"/>
    <n v="2.8308545129724524E-2"/>
    <n v="130582.47800000002"/>
    <n v="114578.01800000001"/>
    <s v="OK"/>
    <x v="5"/>
    <s v="Hohoe"/>
  </r>
  <r>
    <s v="F0082"/>
    <d v="2026-06-30T00:00:00"/>
    <s v="D01"/>
    <s v="C03"/>
    <n v="2.5"/>
    <n v="18786.7"/>
    <n v="1786"/>
    <n v="17000.7"/>
    <s v="Local Market"/>
    <n v="6.85"/>
    <n v="3850.6"/>
    <n v="7514.68"/>
    <n v="9.5067255026162117E-2"/>
    <n v="116454.795"/>
    <n v="112604.19499999999"/>
    <s v="OK"/>
    <x v="1"/>
    <s v="Ejura"/>
  </r>
  <r>
    <s v="F0123"/>
    <d v="2025-10-09T00:00:00"/>
    <s v="D04"/>
    <s v="C04"/>
    <n v="2.1"/>
    <n v="13412"/>
    <n v="478.2"/>
    <n v="12933.8"/>
    <s v="Local Market"/>
    <n v="8.1999999999999993"/>
    <n v="3010.88"/>
    <n v="6386.6666666666661"/>
    <n v="3.5654637637936179E-2"/>
    <n v="106057.15999999999"/>
    <n v="103046.27999999998"/>
    <s v="OK"/>
    <x v="3"/>
    <s v="Kintampo"/>
  </r>
  <r>
    <s v="F0035"/>
    <d v="2025-11-29T00:00:00"/>
    <s v="D04"/>
    <s v="C04"/>
    <n v="4.5999999999999996"/>
    <n v="23960.5"/>
    <n v="3347.8"/>
    <n v="20612.7"/>
    <s v="Farm Gate"/>
    <n v="9.44"/>
    <n v="7303.61"/>
    <n v="5208.804347826087"/>
    <n v="0.1397216251747668"/>
    <n v="194583.88800000001"/>
    <n v="187280.27800000002"/>
    <s v="OK"/>
    <x v="3"/>
    <s v="Kintampo"/>
  </r>
  <r>
    <s v="F0203"/>
    <d v="2026-02-14T00:00:00"/>
    <s v="D01"/>
    <s v="C02"/>
    <n v="3.4"/>
    <n v="9396.1"/>
    <n v="1133.3"/>
    <n v="8262.7999999999993"/>
    <s v="Farm Gate"/>
    <n v="6.87"/>
    <n v="2360.56"/>
    <n v="2763.5588235294122"/>
    <n v="0.12061387171273187"/>
    <n v="56765.435999999994"/>
    <n v="54404.875999999997"/>
    <s v="OK"/>
    <x v="2"/>
    <s v="Ejura"/>
  </r>
  <r>
    <s v="F0150"/>
    <d v="2026-02-04T00:00:00"/>
    <s v="D03"/>
    <s v="C01"/>
    <n v="12.2"/>
    <n v="25001.1"/>
    <n v="805.9"/>
    <n v="24195.200000000001"/>
    <s v="Processor"/>
    <n v="3.09"/>
    <n v="12512.82"/>
    <n v="2049.2704918032787"/>
    <n v="3.2234581678406149E-2"/>
    <n v="74763.168000000005"/>
    <n v="62250.348000000005"/>
    <s v="OK"/>
    <x v="0"/>
    <s v="Tamale Metro"/>
  </r>
  <r>
    <s v="F0107"/>
    <d v="2025-10-09T00:00:00"/>
    <s v="D03"/>
    <s v="C01"/>
    <n v="3.8"/>
    <n v="7146.4"/>
    <n v="437.9"/>
    <n v="6708.5"/>
    <s v="Farm Gate"/>
    <n v="3.81"/>
    <n v="4013"/>
    <n v="1880.6315789473683"/>
    <n v="6.1275607298779802E-2"/>
    <n v="25559.385000000002"/>
    <n v="21546.385000000002"/>
    <s v="OK"/>
    <x v="0"/>
    <s v="Tamale Metro"/>
  </r>
  <r>
    <s v="F0213"/>
    <d v="2026-06-05T00:00:00"/>
    <s v="D05"/>
    <s v="C02"/>
    <n v="14.1"/>
    <n v="35942.9"/>
    <n v="2112.9"/>
    <n v="33830"/>
    <s v="Farm Gate"/>
    <n v="6.61"/>
    <n v="21007.31"/>
    <n v="2549.1418439716313"/>
    <n v="5.8784906059332995E-2"/>
    <n v="223616.30000000002"/>
    <n v="202608.99000000002"/>
    <s v="OK"/>
    <x v="2"/>
    <s v="Hohoe"/>
  </r>
  <r>
    <s v="F0209"/>
    <d v="2026-01-19T00:00:00"/>
    <s v="D05"/>
    <s v="C04"/>
    <n v="11.7"/>
    <n v="56773"/>
    <n v="1802.5"/>
    <n v="54970.5"/>
    <s v="Local Market"/>
    <n v="9.11"/>
    <n v="16365.19"/>
    <n v="4852.393162393163"/>
    <n v="3.1749247001215369E-2"/>
    <n v="500781.25499999995"/>
    <n v="484416.06499999994"/>
    <s v="OK"/>
    <x v="3"/>
    <s v="Hohoe"/>
  </r>
  <r>
    <s v="F0191"/>
    <d v="2025-10-08T00:00:00"/>
    <s v="D01"/>
    <s v="C05"/>
    <n v="14.4"/>
    <n v="18762.900000000001"/>
    <n v="480.3"/>
    <n v="18282.599999999999"/>
    <s v="Local Market"/>
    <n v="4.16"/>
    <n v="22891.31"/>
    <n v="1302.9791666666667"/>
    <n v="2.5598388308843513E-2"/>
    <n v="76055.615999999995"/>
    <n v="53164.305999999997"/>
    <s v="OK"/>
    <x v="5"/>
    <s v="Ejura"/>
  </r>
  <r>
    <s v="F0008"/>
    <d v="2025-09-06T00:00:00"/>
    <s v="D01"/>
    <s v="C04"/>
    <n v="2.1"/>
    <n v="8858.2999999999993"/>
    <n v="1069"/>
    <n v="7789.3"/>
    <s v="Processor"/>
    <n v="8.93"/>
    <n v="3734.6"/>
    <n v="4218.2380952380945"/>
    <n v="0.12067778241874853"/>
    <n v="69558.448999999993"/>
    <n v="65823.848999999987"/>
    <s v="OK"/>
    <x v="3"/>
    <s v="Ejura"/>
  </r>
  <r>
    <s v="F0018"/>
    <d v="2025-11-16T00:00:00"/>
    <s v="D04"/>
    <s v="C05"/>
    <n v="1.4"/>
    <n v="2466.1"/>
    <n v="268.2"/>
    <n v="2197.9"/>
    <s v="Wholesaler"/>
    <n v="5.17"/>
    <n v="2219.58"/>
    <n v="1761.5"/>
    <n v="0.10875471392076558"/>
    <n v="11363.143"/>
    <n v="9143.5630000000001"/>
    <s v="OK"/>
    <x v="5"/>
    <s v="Kintampo"/>
  </r>
  <r>
    <s v="F0125"/>
    <d v="2026-03-25T00:00:00"/>
    <s v="D01"/>
    <s v="C02"/>
    <n v="8.6"/>
    <n v="16866"/>
    <n v="2005.3"/>
    <n v="14860.7"/>
    <s v="Local Market"/>
    <n v="5.27"/>
    <n v="9715.42"/>
    <n v="1961.1627906976746"/>
    <n v="0.11889600379461639"/>
    <n v="78315.888999999996"/>
    <n v="68600.468999999997"/>
    <s v="OK"/>
    <x v="2"/>
    <s v="Ejura"/>
  </r>
  <r>
    <s v="F0080"/>
    <d v="2026-06-27T00:00:00"/>
    <s v="D01"/>
    <s v="C03"/>
    <n v="9.8000000000000007"/>
    <n v="80551.199999999997"/>
    <n v="10962.6"/>
    <n v="69588.600000000006"/>
    <s v="Farm Gate"/>
    <n v="7.1"/>
    <n v="8282.5499999999993"/>
    <n v="8219.5102040816309"/>
    <n v="0.136094806781277"/>
    <n v="494079.06"/>
    <n v="485796.51"/>
    <s v="OK"/>
    <x v="1"/>
    <s v="Ejura"/>
  </r>
  <r>
    <s v="F0190"/>
    <d v="2026-03-29T00:00:00"/>
    <s v="D05"/>
    <s v="C06"/>
    <n v="9.1"/>
    <n v="48805.1"/>
    <n v="1403.2"/>
    <n v="47401.9"/>
    <s v="Farm Gate"/>
    <n v="2.25"/>
    <n v="12042.45"/>
    <n v="5363.197802197802"/>
    <n v="2.8751093635706108E-2"/>
    <n v="106654.27500000001"/>
    <n v="94611.825000000012"/>
    <s v="OK"/>
    <x v="4"/>
    <s v="Hohoe"/>
  </r>
  <r>
    <s v="F0021"/>
    <d v="2025-09-15T00:00:00"/>
    <s v="D03"/>
    <s v="C04"/>
    <n v="1.6"/>
    <n v="9349.9"/>
    <n v="754.9"/>
    <n v="8595"/>
    <s v="Farm Gate"/>
    <n v="9.56"/>
    <n v="1810.8"/>
    <n v="5843.6874999999991"/>
    <n v="8.0738831431352201E-2"/>
    <n v="82168.2"/>
    <n v="80357.399999999994"/>
    <s v="OK"/>
    <x v="3"/>
    <s v="Tamale Metro"/>
  </r>
  <r>
    <s v="F0020"/>
    <d v="2026-03-22T00:00:00"/>
    <s v="D01"/>
    <s v="C01"/>
    <n v="2.2000000000000002"/>
    <n v="4295.3"/>
    <n v="380"/>
    <n v="3915.3"/>
    <s v="Wholesaler"/>
    <n v="3.07"/>
    <n v="3355.13"/>
    <n v="1952.4090909090908"/>
    <n v="8.8468791469745997E-2"/>
    <n v="12019.971"/>
    <n v="8664.8410000000003"/>
    <s v="OK"/>
    <x v="0"/>
    <s v="Ejura"/>
  </r>
  <r>
    <s v="F0142"/>
    <d v="2026-02-27T00:00:00"/>
    <s v="D05"/>
    <s v="C04"/>
    <n v="2.6"/>
    <n v="9754.9"/>
    <n v="750.6"/>
    <n v="9004.2999999999993"/>
    <s v="Processor"/>
    <n v="8.51"/>
    <n v="2492.86"/>
    <n v="3751.8846153846152"/>
    <n v="7.694594511476284E-2"/>
    <n v="76626.592999999993"/>
    <n v="74133.732999999993"/>
    <s v="OK"/>
    <x v="3"/>
    <s v="Hohoe"/>
  </r>
  <r>
    <s v="F0191"/>
    <d v="2026-02-17T00:00:00"/>
    <s v="D04"/>
    <s v="C03"/>
    <n v="11"/>
    <n v="104406.2"/>
    <n v="12876.5"/>
    <n v="91529.7"/>
    <s v="Wholesaler"/>
    <n v="5.61"/>
    <n v="10120.299999999999"/>
    <n v="9491.4727272727268"/>
    <n v="0.12333079836254936"/>
    <n v="513481.61700000003"/>
    <n v="503361.31700000004"/>
    <s v="OK"/>
    <x v="1"/>
    <s v="Kintampo"/>
  </r>
  <r>
    <s v="F0089"/>
    <d v="2025-08-17T00:00:00"/>
    <s v="D01"/>
    <s v="C02"/>
    <n v="12.4"/>
    <n v="18046.5"/>
    <n v="2817.4"/>
    <n v="15229.1"/>
    <s v="Local Market"/>
    <n v="6.72"/>
    <n v="19927.310000000001"/>
    <n v="1455.3629032258063"/>
    <n v="0.15611891502507411"/>
    <n v="102339.552"/>
    <n v="82412.241999999998"/>
    <s v="OK"/>
    <x v="2"/>
    <s v="Ejura"/>
  </r>
  <r>
    <s v="F0197"/>
    <d v="2026-01-26T00:00:00"/>
    <s v="D03"/>
    <s v="C05"/>
    <n v="9.3000000000000007"/>
    <n v="10902.6"/>
    <n v="1683.1"/>
    <n v="9219.5"/>
    <s v="Local Market"/>
    <n v="4.8099999999999996"/>
    <n v="8556.2000000000007"/>
    <n v="1172.3225806451612"/>
    <n v="0.15437602039880394"/>
    <n v="44345.794999999998"/>
    <n v="35789.595000000001"/>
    <s v="OK"/>
    <x v="5"/>
    <s v="Tamale Metro"/>
  </r>
  <r>
    <s v="F0062"/>
    <d v="2025-11-22T00:00:00"/>
    <s v="D05"/>
    <s v="C01"/>
    <n v="10.199999999999999"/>
    <n v="17039.7"/>
    <n v="963"/>
    <n v="16076.7"/>
    <s v="Local Market"/>
    <n v="3.52"/>
    <n v="10460.280000000001"/>
    <n v="1670.5588235294119"/>
    <n v="5.6515079490836104E-2"/>
    <n v="56589.984000000004"/>
    <n v="46129.704000000005"/>
    <s v="OK"/>
    <x v="0"/>
    <s v="Hohoe"/>
  </r>
  <r>
    <s v="F0193"/>
    <d v="2026-03-24T00:00:00"/>
    <s v="D05"/>
    <s v="C04"/>
    <n v="12.6"/>
    <n v="73817.2"/>
    <n v="9208.7999999999993"/>
    <n v="64608.4"/>
    <s v="Farm Gate"/>
    <n v="9.3000000000000007"/>
    <n v="22078.68"/>
    <n v="5858.5079365079364"/>
    <n v="0.1247514129498274"/>
    <n v="600858.12000000011"/>
    <n v="578779.44000000006"/>
    <s v="OK"/>
    <x v="3"/>
    <s v="Hohoe"/>
  </r>
  <r>
    <s v="F0061"/>
    <d v="2026-05-06T00:00:00"/>
    <s v="D02"/>
    <s v="C02"/>
    <n v="9.3000000000000007"/>
    <n v="23536.1"/>
    <n v="745.9"/>
    <n v="22790.2"/>
    <s v="Local Market"/>
    <n v="6.12"/>
    <n v="7104.77"/>
    <n v="2530.7634408602148"/>
    <n v="3.1691741622443821E-2"/>
    <n v="139476.024"/>
    <n v="132371.25400000002"/>
    <s v="OK"/>
    <x v="2"/>
    <s v="Techiman"/>
  </r>
  <r>
    <s v="F0051"/>
    <d v="2025-07-29T00:00:00"/>
    <s v="D04"/>
    <s v="C03"/>
    <n v="9.1999999999999993"/>
    <n v="74230.600000000006"/>
    <n v="8783.2999999999993"/>
    <n v="65447.3"/>
    <s v="Processor"/>
    <n v="7.33"/>
    <n v="11472.06"/>
    <n v="8068.5434782608709"/>
    <n v="0.11832451846004206"/>
    <n v="479728.70900000003"/>
    <n v="468256.64900000003"/>
    <s v="OK"/>
    <x v="1"/>
    <s v="Kintampo"/>
  </r>
  <r>
    <s v="F0116"/>
    <d v="2026-02-28T00:00:00"/>
    <s v="D04"/>
    <s v="C05"/>
    <n v="13.6"/>
    <n v="24776"/>
    <n v="3936.1"/>
    <n v="20839.900000000001"/>
    <s v="Farm Gate"/>
    <n v="4.58"/>
    <n v="19472.03"/>
    <n v="1821.7647058823529"/>
    <n v="0.15886745237326444"/>
    <n v="95446.742000000013"/>
    <n v="75974.712000000014"/>
    <s v="OK"/>
    <x v="5"/>
    <s v="Kintampo"/>
  </r>
  <r>
    <s v="F0016"/>
    <d v="2025-09-03T00:00:00"/>
    <s v="D05"/>
    <s v="C03"/>
    <n v="11.7"/>
    <n v="99877.3"/>
    <n v="13114.4"/>
    <n v="86762.9"/>
    <s v="Local Market"/>
    <n v="7.01"/>
    <n v="20847.78"/>
    <n v="8536.521367521369"/>
    <n v="0.13130511137165302"/>
    <n v="608207.92899999989"/>
    <n v="587360.14899999986"/>
    <s v="OK"/>
    <x v="1"/>
    <s v="Hohoe"/>
  </r>
  <r>
    <s v="F0168"/>
    <d v="2026-03-14T00:00:00"/>
    <s v="D01"/>
    <s v="C03"/>
    <n v="1.9"/>
    <n v="12904.6"/>
    <n v="973"/>
    <n v="11931.6"/>
    <s v="Wholesaler"/>
    <n v="7.38"/>
    <n v="1247.97"/>
    <n v="6791.8947368421059"/>
    <n v="7.5399469956449638E-2"/>
    <n v="88055.207999999999"/>
    <n v="86807.237999999998"/>
    <s v="OK"/>
    <x v="1"/>
    <s v="Ejura"/>
  </r>
  <r>
    <s v="F0101"/>
    <d v="2025-09-08T00:00:00"/>
    <s v="D02"/>
    <s v="C01"/>
    <n v="12.5"/>
    <n v="17372.7"/>
    <n v="1614.9"/>
    <n v="15757.8"/>
    <s v="Processor"/>
    <n v="3.64"/>
    <n v="10941.15"/>
    <n v="1389.816"/>
    <n v="9.2956189884128543E-2"/>
    <n v="57358.392"/>
    <n v="46417.241999999998"/>
    <s v="OK"/>
    <x v="0"/>
    <s v="Techiman"/>
  </r>
  <r>
    <s v="F0081"/>
    <d v="2025-12-22T00:00:00"/>
    <s v="D04"/>
    <s v="C02"/>
    <n v="13"/>
    <n v="31528"/>
    <n v="4813"/>
    <n v="26715"/>
    <s v="Local Market"/>
    <n v="5.15"/>
    <n v="18951.830000000002"/>
    <n v="2425.2307692307691"/>
    <n v="0.15265795483379851"/>
    <n v="137582.25"/>
    <n v="118630.42"/>
    <s v="OK"/>
    <x v="2"/>
    <s v="Kintampo"/>
  </r>
  <r>
    <s v="F0193"/>
    <d v="2025-11-14T00:00:00"/>
    <s v="D01"/>
    <s v="C03"/>
    <n v="4.5999999999999996"/>
    <n v="39238.800000000003"/>
    <n v="5922.4"/>
    <n v="33316.400000000001"/>
    <s v="Local Market"/>
    <n v="7.71"/>
    <n v="7773.3"/>
    <n v="8530.1739130434798"/>
    <n v="0.15093224053742721"/>
    <n v="256869.44400000002"/>
    <n v="249096.14400000003"/>
    <s v="OK"/>
    <x v="1"/>
    <s v="Ejura"/>
  </r>
  <r>
    <s v="F0126"/>
    <d v="2026-03-19T00:00:00"/>
    <s v="D02"/>
    <s v="C04"/>
    <n v="9.1"/>
    <n v="58175.8"/>
    <n v="8401.9"/>
    <n v="49773.9"/>
    <s v="Farm Gate"/>
    <n v="9.44"/>
    <n v="7761.58"/>
    <n v="6392.9450549450557"/>
    <n v="0.14442259496216639"/>
    <n v="469865.61599999998"/>
    <n v="462104.03599999996"/>
    <s v="OK"/>
    <x v="3"/>
    <s v="Techiman"/>
  </r>
  <r>
    <s v="F0035"/>
    <d v="2026-04-10T00:00:00"/>
    <s v="D04"/>
    <s v="C04"/>
    <n v="7.1"/>
    <n v="43735.7"/>
    <n v="4671.2"/>
    <n v="39064.5"/>
    <s v="Wholesaler"/>
    <n v="10.74"/>
    <n v="6460.11"/>
    <n v="6159.9577464788736"/>
    <n v="0.10680519575541263"/>
    <n v="419552.73"/>
    <n v="413092.62"/>
    <s v="OK"/>
    <x v="3"/>
    <s v="Kintampo"/>
  </r>
  <r>
    <s v="F0006"/>
    <d v="2025-07-02T00:00:00"/>
    <s v="D03"/>
    <s v="C03"/>
    <n v="6.4"/>
    <n v="60240.2"/>
    <n v="4754.5"/>
    <n v="55485.7"/>
    <s v="Wholesaler"/>
    <n v="5.86"/>
    <n v="10612.21"/>
    <n v="9412.5312499999982"/>
    <n v="7.8925700777885868E-2"/>
    <n v="325146.20199999999"/>
    <n v="314533.99199999997"/>
    <s v="OK"/>
    <x v="1"/>
    <s v="Tamale Metro"/>
  </r>
  <r>
    <s v="F0162"/>
    <d v="2025-10-25T00:00:00"/>
    <s v="D02"/>
    <s v="C03"/>
    <n v="1.8"/>
    <n v="16131.1"/>
    <n v="1842.6"/>
    <n v="14288.5"/>
    <s v="Processor"/>
    <n v="5.67"/>
    <n v="2041.49"/>
    <n v="8961.7222222222226"/>
    <n v="0.11422655615550086"/>
    <n v="81015.794999999998"/>
    <n v="78974.304999999993"/>
    <s v="OK"/>
    <x v="1"/>
    <s v="Techiman"/>
  </r>
  <r>
    <s v="F0125"/>
    <d v="2025-07-02T00:00:00"/>
    <s v="D04"/>
    <s v="C02"/>
    <n v="3.5"/>
    <n v="6683.8"/>
    <n v="1020.1"/>
    <n v="5663.7"/>
    <s v="Processor"/>
    <n v="5.25"/>
    <n v="4642.1400000000003"/>
    <n v="1909.6571428571428"/>
    <n v="0.15262275950806428"/>
    <n v="29734.424999999999"/>
    <n v="25092.285"/>
    <s v="OK"/>
    <x v="2"/>
    <s v="Kintampo"/>
  </r>
  <r>
    <s v="F0110"/>
    <d v="2025-08-03T00:00:00"/>
    <s v="D03"/>
    <s v="C05"/>
    <n v="10.6"/>
    <n v="19146.7"/>
    <n v="1615.6"/>
    <n v="17531.099999999999"/>
    <s v="Farm Gate"/>
    <n v="4.2"/>
    <n v="7664.18"/>
    <n v="1806.2924528301887"/>
    <n v="8.4380075939979204E-2"/>
    <n v="73630.62"/>
    <n v="65966.44"/>
    <s v="OK"/>
    <x v="5"/>
    <s v="Tamale Metro"/>
  </r>
  <r>
    <s v="F0177"/>
    <d v="2025-07-31T00:00:00"/>
    <s v="D05"/>
    <s v="C05"/>
    <n v="2.7"/>
    <n v="3429.2"/>
    <n v="427.4"/>
    <n v="3001.8"/>
    <s v="Processor"/>
    <n v="4.5199999999999996"/>
    <n v="2583.6999999999998"/>
    <n v="1270.0740740740739"/>
    <n v="0.12463548349469264"/>
    <n v="13568.136"/>
    <n v="10984.436000000002"/>
    <s v="OK"/>
    <x v="5"/>
    <s v="Hohoe"/>
  </r>
  <r>
    <s v="F0153"/>
    <d v="2026-06-04T00:00:00"/>
    <s v="D02"/>
    <s v="C02"/>
    <n v="10.3"/>
    <n v="19174.3"/>
    <n v="539"/>
    <n v="18635.3"/>
    <s v="Wholesaler"/>
    <n v="5.44"/>
    <n v="9974.19"/>
    <n v="1861.5825242718445"/>
    <n v="2.811054380081672E-2"/>
    <n v="101376.03200000001"/>
    <n v="91401.842000000004"/>
    <s v="OK"/>
    <x v="2"/>
    <s v="Techiman"/>
  </r>
  <r>
    <s v="F0009"/>
    <d v="2025-11-08T00:00:00"/>
    <s v="D01"/>
    <s v="C02"/>
    <n v="7.2"/>
    <n v="16325.3"/>
    <n v="822.7"/>
    <n v="15502.6"/>
    <s v="Wholesaler"/>
    <n v="6.79"/>
    <n v="11914.67"/>
    <n v="2267.4027777777778"/>
    <n v="5.0394173460824615E-2"/>
    <n v="105262.65400000001"/>
    <n v="93347.984000000011"/>
    <s v="OK"/>
    <x v="2"/>
    <s v="Ejura"/>
  </r>
  <r>
    <s v="F0134"/>
    <d v="2025-12-18T00:00:00"/>
    <s v="D02"/>
    <s v="C06"/>
    <n v="8.1999999999999993"/>
    <n v="47929.599999999999"/>
    <n v="5728.3"/>
    <n v="42201.3"/>
    <s v="Local Market"/>
    <n v="2.11"/>
    <n v="9664.24"/>
    <n v="5845.0731707317073"/>
    <n v="0.11951487181199093"/>
    <n v="89044.743000000002"/>
    <n v="79380.502999999997"/>
    <s v="OK"/>
    <x v="4"/>
    <s v="Techiman"/>
  </r>
  <r>
    <s v="F0013"/>
    <d v="2025-10-08T00:00:00"/>
    <s v="D04"/>
    <s v="C02"/>
    <n v="3.7"/>
    <n v="7452.3"/>
    <n v="1075.3"/>
    <n v="6377"/>
    <s v="Processor"/>
    <n v="5.81"/>
    <n v="4099.08"/>
    <n v="2014.135135135135"/>
    <n v="0.14429102424754772"/>
    <n v="37050.369999999995"/>
    <n v="32951.289999999994"/>
    <s v="OK"/>
    <x v="2"/>
    <s v="Kintampo"/>
  </r>
  <r>
    <s v="F0172"/>
    <d v="2025-10-05T00:00:00"/>
    <s v="D04"/>
    <s v="C06"/>
    <n v="13.8"/>
    <n v="106345.9"/>
    <n v="13447.2"/>
    <n v="92898.7"/>
    <s v="Processor"/>
    <n v="2.0699999999999998"/>
    <n v="19068.21"/>
    <n v="7706.224637681159"/>
    <n v="0.12644775209951678"/>
    <n v="192300.30899999998"/>
    <n v="173232.09899999999"/>
    <s v="OK"/>
    <x v="4"/>
    <s v="Kintampo"/>
  </r>
  <r>
    <s v="F0153"/>
    <d v="2025-12-10T00:00:00"/>
    <s v="D03"/>
    <s v="C04"/>
    <n v="3.2"/>
    <n v="19713.099999999999"/>
    <n v="2084.3000000000002"/>
    <n v="17628.8"/>
    <s v="Local Market"/>
    <n v="8.5299999999999994"/>
    <n v="3683.3"/>
    <n v="6160.3437499999991"/>
    <n v="0.10573172154557124"/>
    <n v="150373.66399999999"/>
    <n v="146690.364"/>
    <s v="OK"/>
    <x v="3"/>
    <s v="Tamale Metro"/>
  </r>
  <r>
    <s v="F0050"/>
    <d v="2026-06-01T00:00:00"/>
    <s v="D02"/>
    <s v="C03"/>
    <n v="2.5"/>
    <n v="20854.5"/>
    <n v="831.3"/>
    <n v="20023.2"/>
    <s v="Farm Gate"/>
    <n v="6.64"/>
    <n v="2338.15"/>
    <n v="8341.7999999999993"/>
    <n v="3.9861900309285762E-2"/>
    <n v="132954.04800000001"/>
    <n v="130615.89800000002"/>
    <s v="OK"/>
    <x v="1"/>
    <s v="Techiman"/>
  </r>
  <r>
    <s v="F0199"/>
    <d v="2026-06-03T00:00:00"/>
    <s v="D03"/>
    <s v="C06"/>
    <n v="7.1"/>
    <n v="37677"/>
    <n v="1688.8"/>
    <n v="35988.199999999997"/>
    <s v="Processor"/>
    <n v="2.29"/>
    <n v="11987.46"/>
    <n v="5306.6197183098593"/>
    <n v="4.4823101626987286E-2"/>
    <n v="82412.977999999988"/>
    <n v="70425.517999999982"/>
    <s v="OK"/>
    <x v="4"/>
    <s v="Tamale Metro"/>
  </r>
  <r>
    <s v="F0131"/>
    <d v="2026-03-09T00:00:00"/>
    <s v="D04"/>
    <s v="C04"/>
    <n v="8.9"/>
    <n v="54508.800000000003"/>
    <n v="6570.4"/>
    <n v="47938.400000000001"/>
    <s v="Processor"/>
    <n v="8.24"/>
    <n v="15786.42"/>
    <n v="6124.5842696629215"/>
    <n v="0.12053833509451684"/>
    <n v="395012.41600000003"/>
    <n v="379225.99600000004"/>
    <s v="OK"/>
    <x v="3"/>
    <s v="Kintampo"/>
  </r>
  <r>
    <s v="F0053"/>
    <d v="2026-06-02T00:00:00"/>
    <s v="D03"/>
    <s v="C03"/>
    <n v="14.3"/>
    <n v="120407.9"/>
    <n v="9605.7000000000007"/>
    <n v="110802.2"/>
    <s v="Local Market"/>
    <n v="5.71"/>
    <n v="15274.81"/>
    <n v="8420.1328671328665"/>
    <n v="7.9776326968579309E-2"/>
    <n v="632680.56200000003"/>
    <n v="617405.75199999998"/>
    <s v="OK"/>
    <x v="1"/>
    <s v="Tamale Metro"/>
  </r>
  <r>
    <s v="F0104"/>
    <d v="2025-10-20T00:00:00"/>
    <s v="D05"/>
    <s v="C06"/>
    <n v="11.5"/>
    <n v="64467.199999999997"/>
    <n v="10019.299999999999"/>
    <n v="54447.9"/>
    <s v="Processor"/>
    <n v="2.2200000000000002"/>
    <n v="12614.98"/>
    <n v="5605.8434782608692"/>
    <n v="0.15541701826665344"/>
    <n v="120874.33800000002"/>
    <n v="108259.35800000002"/>
    <s v="OK"/>
    <x v="4"/>
    <s v="Hohoe"/>
  </r>
  <r>
    <s v="F0085"/>
    <d v="2026-06-22T00:00:00"/>
    <s v="D01"/>
    <s v="C04"/>
    <n v="10.4"/>
    <n v="50348"/>
    <n v="3605"/>
    <n v="46743"/>
    <s v="Wholesaler"/>
    <n v="9.58"/>
    <n v="17048.23"/>
    <n v="4841.1538461538457"/>
    <n v="7.1601652498609683E-2"/>
    <n v="447797.94"/>
    <n v="430749.71"/>
    <s v="OK"/>
    <x v="3"/>
    <s v="Ejura"/>
  </r>
  <r>
    <s v="F0193"/>
    <d v="2026-01-17T00:00:00"/>
    <s v="D05"/>
    <s v="C02"/>
    <n v="10.7"/>
    <n v="17678.8"/>
    <n v="1336.5"/>
    <n v="16342.3"/>
    <s v="Processor"/>
    <n v="5.59"/>
    <n v="16567.66"/>
    <n v="1652.2242990654206"/>
    <n v="7.5599022558092185E-2"/>
    <n v="91353.456999999995"/>
    <n v="74785.796999999991"/>
    <s v="OK"/>
    <x v="2"/>
    <s v="Hohoe"/>
  </r>
  <r>
    <s v="F0128"/>
    <d v="2025-12-01T00:00:00"/>
    <s v="D01"/>
    <s v="C01"/>
    <n v="7.4"/>
    <n v="16807.599999999999"/>
    <n v="2460.3000000000002"/>
    <n v="14347.3"/>
    <s v="Farm Gate"/>
    <n v="3.7"/>
    <n v="11257.05"/>
    <n v="2271.2972972972971"/>
    <n v="0.14638020895309267"/>
    <n v="53085.01"/>
    <n v="41827.960000000006"/>
    <s v="OK"/>
    <x v="0"/>
    <s v="Ejura"/>
  </r>
  <r>
    <s v="F0161"/>
    <d v="2025-09-19T00:00:00"/>
    <s v="D05"/>
    <s v="C01"/>
    <n v="7.1"/>
    <n v="10192.9"/>
    <n v="1514.8"/>
    <n v="8678.1"/>
    <s v="Processor"/>
    <n v="3.15"/>
    <n v="10686.17"/>
    <n v="1435.6197183098591"/>
    <n v="0.14861325039978809"/>
    <n v="27336.014999999999"/>
    <n v="16649.845000000001"/>
    <s v="OK"/>
    <x v="0"/>
    <s v="Hohoe"/>
  </r>
  <r>
    <s v="F0116"/>
    <d v="2025-09-10T00:00:00"/>
    <s v="D04"/>
    <s v="C06"/>
    <n v="8.1"/>
    <n v="61997.9"/>
    <n v="7266.6"/>
    <n v="54731.3"/>
    <s v="Local Market"/>
    <n v="2.2799999999999998"/>
    <n v="14139.15"/>
    <n v="7654.0617283950623"/>
    <n v="0.11720719572759723"/>
    <n v="124787.364"/>
    <n v="110648.21400000001"/>
    <s v="OK"/>
    <x v="4"/>
    <s v="Kintampo"/>
  </r>
  <r>
    <s v="F0145"/>
    <d v="2025-11-24T00:00:00"/>
    <s v="D03"/>
    <s v="C02"/>
    <n v="9.5"/>
    <n v="15368.5"/>
    <n v="1801"/>
    <n v="13567.5"/>
    <s v="Processor"/>
    <n v="5.96"/>
    <n v="13336.61"/>
    <n v="1617.7368421052631"/>
    <n v="0.11718775417249569"/>
    <n v="80862.3"/>
    <n v="67525.69"/>
    <s v="OK"/>
    <x v="2"/>
    <s v="Tamale Metro"/>
  </r>
  <r>
    <s v="F0115"/>
    <d v="2026-05-06T00:00:00"/>
    <s v="D03"/>
    <s v="C03"/>
    <n v="3.9"/>
    <n v="25562.6"/>
    <n v="1374.7"/>
    <n v="24187.9"/>
    <s v="Local Market"/>
    <n v="6.11"/>
    <n v="5490.85"/>
    <n v="6554.5128205128203"/>
    <n v="5.3777784732382469E-2"/>
    <n v="147788.06900000002"/>
    <n v="142297.21900000001"/>
    <s v="OK"/>
    <x v="1"/>
    <s v="Tamale Metro"/>
  </r>
  <r>
    <s v="F0204"/>
    <d v="2026-02-21T00:00:00"/>
    <s v="D04"/>
    <s v="C05"/>
    <n v="10.7"/>
    <n v="16223.2"/>
    <n v="1040.0999999999999"/>
    <n v="15183.1"/>
    <s v="Farm Gate"/>
    <n v="4.5999999999999996"/>
    <n v="9484.33"/>
    <n v="1516.1869158878505"/>
    <n v="6.41118891464076E-2"/>
    <n v="69842.259999999995"/>
    <n v="60357.929999999993"/>
    <s v="OK"/>
    <x v="5"/>
    <s v="Kintampo"/>
  </r>
  <r>
    <s v="F0115"/>
    <d v="2026-06-07T00:00:00"/>
    <s v="D03"/>
    <s v="C03"/>
    <n v="12.1"/>
    <n v="78950.600000000006"/>
    <n v="8949.7000000000007"/>
    <n v="70000.899999999994"/>
    <s v="Wholesaler"/>
    <n v="6.21"/>
    <n v="16289.33"/>
    <n v="6524.8429752066122"/>
    <n v="0.11335822653659378"/>
    <n v="434705.58899999998"/>
    <n v="418416.25899999996"/>
    <s v="OK"/>
    <x v="1"/>
    <s v="Tamale Metro"/>
  </r>
  <r>
    <s v="F0084"/>
    <d v="2026-01-23T00:00:00"/>
    <s v="D04"/>
    <s v="C04"/>
    <n v="5"/>
    <n v="26179.9"/>
    <n v="859.2"/>
    <n v="25320.7"/>
    <s v="Processor"/>
    <n v="9.2899999999999991"/>
    <n v="8005.67"/>
    <n v="5235.9800000000005"/>
    <n v="3.2819071119446597E-2"/>
    <n v="235229.30299999999"/>
    <n v="227223.63299999997"/>
    <s v="OK"/>
    <x v="3"/>
    <s v="Kintampo"/>
  </r>
  <r>
    <s v="F0134"/>
    <d v="2025-07-19T00:00:00"/>
    <s v="D05"/>
    <s v="C01"/>
    <n v="3.3"/>
    <n v="4391.8999999999996"/>
    <n v="664.5"/>
    <n v="3727.4"/>
    <s v="Wholesaler"/>
    <n v="3.42"/>
    <n v="4921.7299999999996"/>
    <n v="1330.8787878787878"/>
    <n v="0.15130125913613698"/>
    <n v="12747.708000000001"/>
    <n v="7825.978000000001"/>
    <s v="OK"/>
    <x v="0"/>
    <s v="Hohoe"/>
  </r>
  <r>
    <s v="F0178"/>
    <d v="2026-03-29T00:00:00"/>
    <s v="D03"/>
    <s v="C03"/>
    <n v="6.3"/>
    <n v="45244.3"/>
    <n v="4081.1"/>
    <n v="41163.199999999997"/>
    <s v="Processor"/>
    <n v="5.68"/>
    <n v="6153.39"/>
    <n v="7181.6349206349214"/>
    <n v="9.020141763713882E-2"/>
    <n v="233806.97599999997"/>
    <n v="227653.58599999995"/>
    <s v="OK"/>
    <x v="1"/>
    <s v="Tamale Metro"/>
  </r>
  <r>
    <s v="F0014"/>
    <d v="2026-01-25T00:00:00"/>
    <s v="D05"/>
    <s v="C02"/>
    <n v="1.5"/>
    <n v="3493.6"/>
    <n v="307"/>
    <n v="3186.6"/>
    <s v="Farm Gate"/>
    <n v="5.62"/>
    <n v="2356.58"/>
    <n v="2329.0666666666666"/>
    <n v="8.787497137623082E-2"/>
    <n v="17908.691999999999"/>
    <n v="15552.111999999999"/>
    <s v="OK"/>
    <x v="2"/>
    <s v="Hohoe"/>
  </r>
  <r>
    <s v="F0022"/>
    <d v="2026-05-14T00:00:00"/>
    <s v="D03"/>
    <s v="C05"/>
    <n v="10.1"/>
    <n v="15643.6"/>
    <n v="762.7"/>
    <n v="14880.9"/>
    <s v="Processor"/>
    <n v="4.22"/>
    <n v="17353.84"/>
    <n v="1548.871287128713"/>
    <n v="4.875476233092127E-2"/>
    <n v="62797.397999999994"/>
    <n v="45443.55799999999"/>
    <s v="OK"/>
    <x v="5"/>
    <s v="Tamale Metro"/>
  </r>
  <r>
    <s v="F0004"/>
    <d v="2025-07-18T00:00:00"/>
    <s v="D02"/>
    <s v="C06"/>
    <n v="1.4"/>
    <n v="5757"/>
    <n v="617.6"/>
    <n v="5139.3999999999996"/>
    <s v="Farm Gate"/>
    <n v="2.23"/>
    <n v="2055.44"/>
    <n v="4112.1428571428578"/>
    <n v="0.1072780962306757"/>
    <n v="11460.861999999999"/>
    <n v="9405.4219999999987"/>
    <s v="OK"/>
    <x v="4"/>
    <s v="Techiman"/>
  </r>
  <r>
    <s v="F0121"/>
    <d v="2026-01-24T00:00:00"/>
    <s v="D01"/>
    <s v="C05"/>
    <n v="10"/>
    <n v="14535.8"/>
    <n v="2090.9"/>
    <n v="12444.9"/>
    <s v="Processor"/>
    <n v="4.07"/>
    <n v="11734.64"/>
    <n v="1453.58"/>
    <n v="0.14384485202052863"/>
    <n v="50650.743000000002"/>
    <n v="38916.103000000003"/>
    <s v="OK"/>
    <x v="5"/>
    <s v="Ejura"/>
  </r>
  <r>
    <s v="F0104"/>
    <d v="2026-04-26T00:00:00"/>
    <s v="D02"/>
    <s v="C05"/>
    <n v="14"/>
    <n v="21533.3"/>
    <n v="1646.6"/>
    <n v="19886.7"/>
    <s v="Farm Gate"/>
    <n v="4.63"/>
    <n v="18808.02"/>
    <n v="1538.0928571428572"/>
    <n v="7.6467610630976207E-2"/>
    <n v="92075.421000000002"/>
    <n v="73267.400999999998"/>
    <s v="OK"/>
    <x v="5"/>
    <s v="Techiman"/>
  </r>
  <r>
    <s v="F0067"/>
    <d v="2026-01-07T00:00:00"/>
    <s v="D04"/>
    <s v="C01"/>
    <n v="13.9"/>
    <n v="29270.5"/>
    <n v="1449.8"/>
    <n v="27820.7"/>
    <s v="Local Market"/>
    <n v="3.59"/>
    <n v="13412.34"/>
    <n v="2105.7913669064747"/>
    <n v="4.953109786303616E-2"/>
    <n v="99876.312999999995"/>
    <n v="86463.972999999998"/>
    <s v="OK"/>
    <x v="0"/>
    <s v="Kintampo"/>
  </r>
  <r>
    <s v="F0055"/>
    <d v="2025-08-27T00:00:00"/>
    <s v="D01"/>
    <s v="C03"/>
    <n v="4.8"/>
    <n v="45048.6"/>
    <n v="6279.7"/>
    <n v="38768.9"/>
    <s v="Wholesaler"/>
    <n v="7.78"/>
    <n v="8453.7800000000007"/>
    <n v="9385.125"/>
    <n v="0.13939833868311113"/>
    <n v="301622.04200000002"/>
    <n v="293168.26199999999"/>
    <s v="OK"/>
    <x v="1"/>
    <s v="Ejura"/>
  </r>
  <r>
    <s v="F0179"/>
    <d v="2025-09-07T00:00:00"/>
    <s v="D03"/>
    <s v="C03"/>
    <n v="12.4"/>
    <n v="124240.6"/>
    <n v="17907.8"/>
    <n v="106332.8"/>
    <s v="Wholesaler"/>
    <n v="5.53"/>
    <n v="21112.47"/>
    <n v="10019.403225806453"/>
    <n v="0.1441380675882119"/>
    <n v="588020.38400000008"/>
    <n v="566907.91400000011"/>
    <s v="OK"/>
    <x v="1"/>
    <s v="Tamale Metro"/>
  </r>
  <r>
    <s v="F0020"/>
    <d v="2025-07-18T00:00:00"/>
    <s v="D01"/>
    <s v="C01"/>
    <n v="4.8"/>
    <n v="9505.6"/>
    <n v="1135.7"/>
    <n v="8369.9"/>
    <s v="Wholesaler"/>
    <n v="3.77"/>
    <n v="6090.88"/>
    <n v="1980.3333333333335"/>
    <n v="0.11947693990910621"/>
    <n v="31554.522999999997"/>
    <n v="25463.642999999996"/>
    <s v="OK"/>
    <x v="0"/>
    <s v="Ejura"/>
  </r>
  <r>
    <s v="F0023"/>
    <d v="2025-09-11T00:00:00"/>
    <s v="D03"/>
    <s v="C04"/>
    <n v="10.1"/>
    <n v="44194.7"/>
    <n v="4442.5"/>
    <n v="39752.199999999997"/>
    <s v="Farm Gate"/>
    <n v="8.18"/>
    <n v="16461.939999999999"/>
    <n v="4375.712871287129"/>
    <n v="0.10052110320920835"/>
    <n v="325172.99599999998"/>
    <n v="308711.05599999998"/>
    <s v="OK"/>
    <x v="3"/>
    <s v="Tamale Metro"/>
  </r>
  <r>
    <s v="F0173"/>
    <d v="2026-02-05T00:00:00"/>
    <s v="D05"/>
    <s v="C04"/>
    <n v="6.6"/>
    <n v="30360.7"/>
    <n v="4155.6000000000004"/>
    <n v="26205.1"/>
    <s v="Wholesaler"/>
    <n v="10.3"/>
    <n v="6719.64"/>
    <n v="4600.106060606061"/>
    <n v="0.13687431449209012"/>
    <n v="269912.53000000003"/>
    <n v="263192.89"/>
    <s v="OK"/>
    <x v="3"/>
    <s v="Hohoe"/>
  </r>
  <r>
    <s v="F0184"/>
    <d v="2025-10-08T00:00:00"/>
    <s v="D02"/>
    <s v="C06"/>
    <n v="12.6"/>
    <n v="94432.7"/>
    <n v="8360.2000000000007"/>
    <n v="86072.5"/>
    <s v="Local Market"/>
    <n v="2.16"/>
    <n v="10069.48"/>
    <n v="7494.6587301587306"/>
    <n v="8.8530773767985044E-2"/>
    <n v="185916.6"/>
    <n v="175847.12"/>
    <s v="OK"/>
    <x v="4"/>
    <s v="Techiman"/>
  </r>
  <r>
    <s v="F0042"/>
    <d v="2025-08-28T00:00:00"/>
    <s v="D01"/>
    <s v="C02"/>
    <n v="4.8"/>
    <n v="12061.5"/>
    <n v="1792.3"/>
    <n v="10269.200000000001"/>
    <s v="Processor"/>
    <n v="6.86"/>
    <n v="3145.36"/>
    <n v="2512.8125"/>
    <n v="0.14859677486216474"/>
    <n v="70446.712000000014"/>
    <n v="67301.352000000014"/>
    <s v="OK"/>
    <x v="2"/>
    <s v="Ejura"/>
  </r>
  <r>
    <s v="F0203"/>
    <d v="2026-02-13T00:00:00"/>
    <s v="D01"/>
    <s v="C02"/>
    <n v="8.4"/>
    <n v="13240.8"/>
    <n v="499.8"/>
    <n v="12741"/>
    <s v="Local Market"/>
    <n v="6.95"/>
    <n v="14527.34"/>
    <n v="1576.2857142857142"/>
    <n v="3.7746963929671924E-2"/>
    <n v="88549.95"/>
    <n v="74022.61"/>
    <s v="OK"/>
    <x v="2"/>
    <s v="Ejura"/>
  </r>
  <r>
    <s v="F0113"/>
    <d v="2025-07-11T00:00:00"/>
    <s v="D02"/>
    <s v="C02"/>
    <n v="2.7"/>
    <n v="7951.3"/>
    <n v="1240.5999999999999"/>
    <n v="6710.7"/>
    <s v="Processor"/>
    <n v="5.08"/>
    <n v="1957.27"/>
    <n v="2944.9259259259256"/>
    <n v="0.15602480097594101"/>
    <n v="34090.356"/>
    <n v="32133.085999999999"/>
    <s v="OK"/>
    <x v="2"/>
    <s v="Techiman"/>
  </r>
  <r>
    <s v="F0172"/>
    <d v="2025-07-12T00:00:00"/>
    <s v="D02"/>
    <s v="C04"/>
    <n v="9.3000000000000007"/>
    <n v="43248.1"/>
    <n v="1413.8"/>
    <n v="41834.300000000003"/>
    <s v="Local Market"/>
    <n v="8.68"/>
    <n v="6496.47"/>
    <n v="4650.333333333333"/>
    <n v="3.2690453453446511E-2"/>
    <n v="363121.72399999999"/>
    <n v="356625.25400000002"/>
    <s v="OK"/>
    <x v="3"/>
    <s v="Techiman"/>
  </r>
  <r>
    <s v="F0136"/>
    <d v="2025-12-01T00:00:00"/>
    <s v="D03"/>
    <s v="C03"/>
    <n v="9.5"/>
    <n v="93364.3"/>
    <n v="7403.5"/>
    <n v="85960.8"/>
    <s v="Farm Gate"/>
    <n v="6.19"/>
    <n v="6878.17"/>
    <n v="9827.8210526315797"/>
    <n v="7.9296904705545901E-2"/>
    <n v="532097.35200000007"/>
    <n v="525219.18200000003"/>
    <s v="OK"/>
    <x v="1"/>
    <s v="Tamale Metro"/>
  </r>
  <r>
    <s v="F0095"/>
    <d v="2026-04-01T00:00:00"/>
    <s v="D01"/>
    <s v="C01"/>
    <n v="5.8"/>
    <n v="7454.1"/>
    <n v="815.1"/>
    <n v="6639"/>
    <s v="Local Market"/>
    <n v="3.7"/>
    <n v="9408.8700000000008"/>
    <n v="1285.1896551724139"/>
    <n v="0.10934921720932105"/>
    <n v="24564.300000000003"/>
    <n v="15155.430000000002"/>
    <s v="OK"/>
    <x v="0"/>
    <s v="Ejura"/>
  </r>
  <r>
    <s v="F0049"/>
    <d v="2025-10-14T00:00:00"/>
    <s v="D05"/>
    <s v="C02"/>
    <n v="3.6"/>
    <n v="8468.6"/>
    <n v="822.2"/>
    <n v="7646.4"/>
    <s v="Processor"/>
    <n v="5.39"/>
    <n v="6372.25"/>
    <n v="2352.3888888888891"/>
    <n v="9.7088066504498971E-2"/>
    <n v="41214.095999999998"/>
    <n v="34841.845999999998"/>
    <s v="OK"/>
    <x v="2"/>
    <s v="Hohoe"/>
  </r>
  <r>
    <s v="F0032"/>
    <d v="2025-08-03T00:00:00"/>
    <s v="D05"/>
    <s v="C04"/>
    <n v="9.4"/>
    <n v="45970.2"/>
    <n v="4457.5"/>
    <n v="41512.699999999997"/>
    <s v="Local Market"/>
    <n v="10.77"/>
    <n v="10039.64"/>
    <n v="4890.4468085106382"/>
    <n v="9.6964990363322331E-2"/>
    <n v="447091.77899999992"/>
    <n v="437052.13899999991"/>
    <s v="OK"/>
    <x v="3"/>
    <s v="Hohoe"/>
  </r>
  <r>
    <s v="F0036"/>
    <d v="2026-05-02T00:00:00"/>
    <s v="D04"/>
    <s v="C05"/>
    <n v="1.4"/>
    <n v="2353.3000000000002"/>
    <n v="360"/>
    <n v="1993.3"/>
    <s v="Processor"/>
    <n v="4.78"/>
    <n v="2381.2399999999998"/>
    <n v="1680.9285714285716"/>
    <n v="0.15297667105766369"/>
    <n v="9527.9740000000002"/>
    <n v="7146.7340000000004"/>
    <s v="OK"/>
    <x v="5"/>
    <s v="Kintampo"/>
  </r>
  <r>
    <s v="F0075"/>
    <d v="2025-12-25T00:00:00"/>
    <s v="D05"/>
    <s v="C05"/>
    <n v="6.1"/>
    <n v="12009.4"/>
    <n v="396.6"/>
    <n v="11612.8"/>
    <s v="Farm Gate"/>
    <n v="4.3099999999999996"/>
    <n v="8295.81"/>
    <n v="1968.7540983606557"/>
    <n v="3.3024131097307112E-2"/>
    <n v="50051.167999999991"/>
    <n v="41755.357999999993"/>
    <s v="OK"/>
    <x v="5"/>
    <s v="Hohoe"/>
  </r>
  <r>
    <s v="F0194"/>
    <d v="2026-03-11T00:00:00"/>
    <s v="D05"/>
    <s v="C02"/>
    <n v="3.8"/>
    <n v="10770.3"/>
    <n v="421.5"/>
    <n v="10348.799999999999"/>
    <s v="Processor"/>
    <n v="5.83"/>
    <n v="2923.46"/>
    <n v="2834.2894736842104"/>
    <n v="3.9135400128130139E-2"/>
    <n v="60333.503999999994"/>
    <n v="57410.043999999994"/>
    <s v="OK"/>
    <x v="2"/>
    <s v="Hohoe"/>
  </r>
  <r>
    <s v="F0031"/>
    <d v="2025-10-18T00:00:00"/>
    <s v="D02"/>
    <s v="C02"/>
    <n v="6.4"/>
    <n v="12316.8"/>
    <n v="1178.3"/>
    <n v="11138.5"/>
    <s v="Local Market"/>
    <n v="5.81"/>
    <n v="9373.19"/>
    <n v="1924.4999999999998"/>
    <n v="9.5666082099246555E-2"/>
    <n v="64714.684999999998"/>
    <n v="55341.494999999995"/>
    <s v="OK"/>
    <x v="2"/>
    <s v="Techiman"/>
  </r>
  <r>
    <s v="F0177"/>
    <d v="2025-12-12T00:00:00"/>
    <s v="D01"/>
    <s v="C05"/>
    <n v="8.6999999999999993"/>
    <n v="11074.4"/>
    <n v="718"/>
    <n v="10356.4"/>
    <s v="Local Market"/>
    <n v="4.32"/>
    <n v="11877.8"/>
    <n v="1272.9195402298851"/>
    <n v="6.483421223723182E-2"/>
    <n v="44739.648000000001"/>
    <n v="32861.847999999998"/>
    <s v="OK"/>
    <x v="5"/>
    <s v="Ejura"/>
  </r>
  <r>
    <s v="F0172"/>
    <d v="2026-05-19T00:00:00"/>
    <s v="D01"/>
    <s v="C01"/>
    <n v="10.8"/>
    <n v="17336.400000000001"/>
    <n v="1546.3"/>
    <n v="15790.1"/>
    <s v="Processor"/>
    <n v="2.88"/>
    <n v="16268.95"/>
    <n v="1605.2222222222222"/>
    <n v="8.9193834936895769E-2"/>
    <n v="45475.487999999998"/>
    <n v="29206.537999999997"/>
    <s v="OK"/>
    <x v="0"/>
    <s v="Ejura"/>
  </r>
  <r>
    <s v="F0106"/>
    <d v="2025-07-23T00:00:00"/>
    <s v="D02"/>
    <s v="C03"/>
    <n v="14.6"/>
    <n v="80975.399999999994"/>
    <n v="2826.2"/>
    <n v="78149.2"/>
    <s v="Local Market"/>
    <n v="6.93"/>
    <n v="22744.11"/>
    <n v="5546.2602739726026"/>
    <n v="3.4901957878565593E-2"/>
    <n v="541573.95600000001"/>
    <n v="518829.84600000002"/>
    <s v="OK"/>
    <x v="1"/>
    <s v="Techiman"/>
  </r>
  <r>
    <s v="F0117"/>
    <d v="2026-01-25T00:00:00"/>
    <s v="D05"/>
    <s v="C02"/>
    <n v="6"/>
    <n v="12176.2"/>
    <n v="461.7"/>
    <n v="11714.5"/>
    <s v="Wholesaler"/>
    <n v="6.83"/>
    <n v="9826.02"/>
    <n v="2029.3666666666668"/>
    <n v="3.7918233931768526E-2"/>
    <n v="80010.035000000003"/>
    <n v="70184.014999999999"/>
    <s v="OK"/>
    <x v="2"/>
    <s v="Hohoe"/>
  </r>
  <r>
    <s v="F0085"/>
    <d v="2026-02-13T00:00:00"/>
    <s v="D03"/>
    <s v="C01"/>
    <n v="9.1999999999999993"/>
    <n v="17970.8"/>
    <n v="2591"/>
    <n v="15379.8"/>
    <s v="Farm Gate"/>
    <n v="2.89"/>
    <n v="10615.14"/>
    <n v="1953.3478260869565"/>
    <n v="0.14417833374140274"/>
    <n v="44447.622000000003"/>
    <n v="33832.482000000004"/>
    <s v="OK"/>
    <x v="0"/>
    <s v="Tamale Metro"/>
  </r>
  <r>
    <s v="F0194"/>
    <d v="2026-02-02T00:00:00"/>
    <s v="D02"/>
    <s v="C05"/>
    <n v="5"/>
    <n v="5520.2"/>
    <n v="628.70000000000005"/>
    <n v="4891.5"/>
    <s v="Processor"/>
    <n v="5.35"/>
    <n v="4568.6000000000004"/>
    <n v="1104.04"/>
    <n v="0.1138908010579327"/>
    <n v="26169.524999999998"/>
    <n v="21600.924999999996"/>
    <s v="OK"/>
    <x v="5"/>
    <s v="Techiman"/>
  </r>
  <r>
    <s v="F0034"/>
    <d v="2026-06-06T00:00:00"/>
    <s v="D01"/>
    <s v="C03"/>
    <n v="9"/>
    <n v="77618.3"/>
    <n v="3581.8"/>
    <n v="74036.5"/>
    <s v="Farm Gate"/>
    <n v="6.91"/>
    <n v="13352.58"/>
    <n v="8624.2555555555555"/>
    <n v="4.6146334047511992E-2"/>
    <n v="511592.21500000003"/>
    <n v="498239.63500000001"/>
    <s v="OK"/>
    <x v="1"/>
    <s v="Ejura"/>
  </r>
  <r>
    <s v="F0162"/>
    <d v="2025-12-18T00:00:00"/>
    <s v="D02"/>
    <s v="C02"/>
    <n v="3.8"/>
    <n v="10652.3"/>
    <n v="1497.8"/>
    <n v="9154.5"/>
    <s v="Processor"/>
    <n v="5.0199999999999996"/>
    <n v="5336.63"/>
    <n v="2803.2368421052629"/>
    <n v="0.14060813157721808"/>
    <n v="45955.59"/>
    <n v="40618.959999999999"/>
    <s v="OK"/>
    <x v="2"/>
    <s v="Techiman"/>
  </r>
  <r>
    <s v="F0141"/>
    <d v="2026-05-20T00:00:00"/>
    <s v="D05"/>
    <s v="C04"/>
    <n v="5.4"/>
    <n v="33631.1"/>
    <n v="2041.3"/>
    <n v="31589.8"/>
    <s v="Wholesaler"/>
    <n v="9.8699999999999992"/>
    <n v="5298.89"/>
    <n v="6227.9814814814808"/>
    <n v="6.0696795525570085E-2"/>
    <n v="311791.32599999994"/>
    <n v="306492.43599999993"/>
    <s v="OK"/>
    <x v="3"/>
    <s v="Hohoe"/>
  </r>
  <r>
    <s v="F0066"/>
    <d v="2025-11-13T00:00:00"/>
    <s v="D02"/>
    <s v="C06"/>
    <n v="8.1999999999999993"/>
    <n v="35992.5"/>
    <n v="1825.1"/>
    <n v="34167.4"/>
    <s v="Wholesaler"/>
    <n v="2.0499999999999998"/>
    <n v="14258.88"/>
    <n v="4389.3292682926831"/>
    <n v="5.0707786344377295E-2"/>
    <n v="70043.17"/>
    <n v="55784.29"/>
    <s v="OK"/>
    <x v="4"/>
    <s v="Techiman"/>
  </r>
  <r>
    <s v="F0037"/>
    <d v="2026-01-01T00:00:00"/>
    <s v="D01"/>
    <s v="C05"/>
    <n v="4.2"/>
    <n v="8151.2"/>
    <n v="285.5"/>
    <n v="7865.7"/>
    <s v="Wholesaler"/>
    <n v="4.55"/>
    <n v="3268.72"/>
    <n v="1940.7619047619046"/>
    <n v="3.5025517715183044E-2"/>
    <n v="35788.934999999998"/>
    <n v="32520.214999999997"/>
    <s v="OK"/>
    <x v="5"/>
    <s v="Ejura"/>
  </r>
  <r>
    <s v="F0060"/>
    <d v="2026-06-26T00:00:00"/>
    <s v="D04"/>
    <s v="C05"/>
    <n v="14.5"/>
    <n v="27799.7"/>
    <n v="924.4"/>
    <n v="26875.3"/>
    <s v="Local Market"/>
    <n v="4.53"/>
    <n v="15519.39"/>
    <n v="1917.2206896551725"/>
    <n v="3.3252157397381986E-2"/>
    <n v="121745.109"/>
    <n v="106225.719"/>
    <s v="OK"/>
    <x v="5"/>
    <s v="Kintampo"/>
  </r>
  <r>
    <s v="F0213"/>
    <d v="2026-01-21T00:00:00"/>
    <s v="D03"/>
    <s v="C06"/>
    <n v="4.2"/>
    <n v="26860.400000000001"/>
    <n v="1262.5999999999999"/>
    <n v="25597.8"/>
    <s v="Local Market"/>
    <n v="2.66"/>
    <n v="3999.62"/>
    <n v="6395.333333333333"/>
    <n v="4.700600139983023E-2"/>
    <n v="68090.148000000001"/>
    <n v="64090.527999999998"/>
    <s v="OK"/>
    <x v="4"/>
    <s v="Tamale Metro"/>
  </r>
  <r>
    <s v="F0200"/>
    <d v="2025-08-18T00:00:00"/>
    <s v="D03"/>
    <s v="C02"/>
    <n v="9.6"/>
    <n v="25787.599999999999"/>
    <n v="3799.1"/>
    <n v="21988.5"/>
    <s v="Farm Gate"/>
    <n v="5.32"/>
    <n v="12991.23"/>
    <n v="2686.2083333333335"/>
    <n v="0.14732274426468536"/>
    <n v="116978.82"/>
    <n v="103987.59000000001"/>
    <s v="OK"/>
    <x v="2"/>
    <s v="Tamale Metro"/>
  </r>
  <r>
    <s v="F0053"/>
    <d v="2026-02-22T00:00:00"/>
    <s v="D03"/>
    <s v="C04"/>
    <n v="11.4"/>
    <n v="59893.4"/>
    <n v="2472.9"/>
    <n v="57420.5"/>
    <s v="Farm Gate"/>
    <n v="10.65"/>
    <n v="7417.85"/>
    <n v="5253.8070175438597"/>
    <n v="4.1288355645196298E-2"/>
    <n v="611528.32500000007"/>
    <n v="604110.47500000009"/>
    <s v="OK"/>
    <x v="3"/>
    <s v="Tamale Metro"/>
  </r>
  <r>
    <s v="F0054"/>
    <d v="2026-03-18T00:00:00"/>
    <s v="D02"/>
    <s v="C01"/>
    <n v="9.6999999999999993"/>
    <n v="12715.7"/>
    <n v="1525.6"/>
    <n v="11190.1"/>
    <s v="Local Market"/>
    <n v="3.51"/>
    <n v="7142.83"/>
    <n v="1310.896907216495"/>
    <n v="0.11997766540575822"/>
    <n v="39277.250999999997"/>
    <n v="32134.420999999995"/>
    <s v="OK"/>
    <x v="0"/>
    <s v="Techiman"/>
  </r>
  <r>
    <s v="F0086"/>
    <d v="2025-10-12T00:00:00"/>
    <s v="D04"/>
    <s v="C04"/>
    <n v="11.9"/>
    <n v="71616"/>
    <n v="4795.6000000000004"/>
    <n v="66820.399999999994"/>
    <s v="Farm Gate"/>
    <n v="9.26"/>
    <n v="8469.91"/>
    <n v="6018.1512605042017"/>
    <n v="6.6962689901697944E-2"/>
    <n v="618756.90399999998"/>
    <n v="610286.99399999995"/>
    <s v="OK"/>
    <x v="3"/>
    <s v="Kintampo"/>
  </r>
  <r>
    <s v="F0083"/>
    <d v="2025-11-06T00:00:00"/>
    <s v="D05"/>
    <s v="C03"/>
    <n v="9.4"/>
    <n v="89698"/>
    <n v="5654.9"/>
    <n v="84043.1"/>
    <s v="Local Market"/>
    <n v="6.2"/>
    <n v="14599.64"/>
    <n v="9542.3404255319147"/>
    <n v="6.3043769091841506E-2"/>
    <n v="521067.22000000003"/>
    <n v="506467.58"/>
    <s v="OK"/>
    <x v="1"/>
    <s v="Hohoe"/>
  </r>
  <r>
    <s v="F0044"/>
    <d v="2025-09-19T00:00:00"/>
    <s v="D04"/>
    <s v="C05"/>
    <n v="11.9"/>
    <n v="20102.099999999999"/>
    <n v="1313.7"/>
    <n v="18788.400000000001"/>
    <s v="Wholesaler"/>
    <n v="4.76"/>
    <n v="7766.91"/>
    <n v="1689.252100840336"/>
    <n v="6.5351381198979222E-2"/>
    <n v="89432.784"/>
    <n v="81665.873999999996"/>
    <s v="OK"/>
    <x v="5"/>
    <s v="Kintampo"/>
  </r>
  <r>
    <s v="F0085"/>
    <d v="2026-04-02T00:00:00"/>
    <s v="D03"/>
    <s v="C02"/>
    <n v="5.2"/>
    <n v="11478.1"/>
    <n v="469.9"/>
    <n v="11008.2"/>
    <s v="Processor"/>
    <n v="6.42"/>
    <n v="6711.79"/>
    <n v="2207.3269230769229"/>
    <n v="4.0938831339681653E-2"/>
    <n v="70672.644"/>
    <n v="63960.853999999999"/>
    <s v="OK"/>
    <x v="2"/>
    <s v="Tamale Metro"/>
  </r>
  <r>
    <s v="F0179"/>
    <d v="2025-07-28T00:00:00"/>
    <s v="D05"/>
    <s v="C01"/>
    <n v="11.3"/>
    <n v="19047.3"/>
    <n v="1743.4"/>
    <n v="17303.900000000001"/>
    <s v="Wholesaler"/>
    <n v="3.1"/>
    <n v="19990.650000000001"/>
    <n v="1685.6017699115043"/>
    <n v="9.1530033128054897E-2"/>
    <n v="53642.090000000004"/>
    <n v="33651.440000000002"/>
    <s v="OK"/>
    <x v="0"/>
    <s v="Hohoe"/>
  </r>
  <r>
    <s v="F0103"/>
    <d v="2026-01-25T00:00:00"/>
    <s v="D03"/>
    <s v="C06"/>
    <n v="1.4"/>
    <n v="6659.8"/>
    <n v="789.7"/>
    <n v="5870.1"/>
    <s v="Processor"/>
    <n v="2.62"/>
    <n v="1698"/>
    <n v="4757"/>
    <n v="0.11857713444848195"/>
    <n v="15379.662000000002"/>
    <n v="13681.662000000002"/>
    <s v="OK"/>
    <x v="4"/>
    <s v="Tamale Metro"/>
  </r>
  <r>
    <s v="F0006"/>
    <d v="2026-04-17T00:00:00"/>
    <s v="D04"/>
    <s v="C06"/>
    <n v="4.0999999999999996"/>
    <n v="16450.599999999999"/>
    <n v="1504.4"/>
    <n v="14946.2"/>
    <s v="Farm Gate"/>
    <n v="2.15"/>
    <n v="4636.3500000000004"/>
    <n v="4012.3414634146343"/>
    <n v="9.1449551992024619E-2"/>
    <n v="32134.33"/>
    <n v="27497.980000000003"/>
    <s v="OK"/>
    <x v="4"/>
    <s v="Kintampo"/>
  </r>
  <r>
    <s v="F0094"/>
    <d v="2025-08-05T00:00:00"/>
    <s v="D02"/>
    <s v="C06"/>
    <n v="12.7"/>
    <n v="89808.1"/>
    <n v="7087.7"/>
    <n v="82720.399999999994"/>
    <s v="Local Market"/>
    <n v="2.27"/>
    <n v="12027.1"/>
    <n v="7071.5039370078748"/>
    <n v="7.8920498262406172E-2"/>
    <n v="187775.30799999999"/>
    <n v="175748.20799999998"/>
    <s v="OK"/>
    <x v="4"/>
    <s v="Techiman"/>
  </r>
  <r>
    <s v="F0128"/>
    <d v="2025-08-17T00:00:00"/>
    <s v="D03"/>
    <s v="C04"/>
    <n v="3.6"/>
    <n v="16671.8"/>
    <n v="736.6"/>
    <n v="15935.2"/>
    <s v="Local Market"/>
    <n v="8.41"/>
    <n v="5242.42"/>
    <n v="4631.0555555555557"/>
    <n v="4.4182391823318422E-2"/>
    <n v="134015.03200000001"/>
    <n v="128772.61200000001"/>
    <s v="OK"/>
    <x v="3"/>
    <s v="Tamale Metro"/>
  </r>
  <r>
    <s v="F0003"/>
    <d v="2026-01-16T00:00:00"/>
    <s v="D03"/>
    <s v="C04"/>
    <n v="12.1"/>
    <n v="73158.399999999994"/>
    <n v="6301.6"/>
    <n v="66856.800000000003"/>
    <s v="Wholesaler"/>
    <n v="9.93"/>
    <n v="11018.96"/>
    <n v="6046.1487603305786"/>
    <n v="8.6136383518502335E-2"/>
    <n v="663888.02399999998"/>
    <n v="652869.06400000001"/>
    <s v="OK"/>
    <x v="3"/>
    <s v="Tamale Metro"/>
  </r>
  <r>
    <s v="F0032"/>
    <d v="2025-11-08T00:00:00"/>
    <s v="D03"/>
    <s v="C04"/>
    <n v="8.5"/>
    <n v="53925.4"/>
    <n v="5826.4"/>
    <n v="48099"/>
    <s v="Local Market"/>
    <n v="8.07"/>
    <n v="8154.96"/>
    <n v="6344.1647058823528"/>
    <n v="0.10804555923553649"/>
    <n v="388158.93"/>
    <n v="380003.97"/>
    <s v="OK"/>
    <x v="3"/>
    <s v="Tamale Metro"/>
  </r>
  <r>
    <s v="F0205"/>
    <d v="2025-09-08T00:00:00"/>
    <s v="D01"/>
    <s v="C06"/>
    <n v="1.9"/>
    <n v="14216.5"/>
    <n v="1197.3"/>
    <n v="13019.2"/>
    <s v="Processor"/>
    <n v="2.4900000000000002"/>
    <n v="2727.92"/>
    <n v="7482.3684210526317"/>
    <n v="8.4219041254879889E-2"/>
    <n v="32417.808000000005"/>
    <n v="29689.888000000006"/>
    <s v="OK"/>
    <x v="4"/>
    <s v="Ejura"/>
  </r>
  <r>
    <s v="F0215"/>
    <d v="2025-09-28T00:00:00"/>
    <s v="D03"/>
    <s v="C06"/>
    <n v="11.2"/>
    <n v="46381.7"/>
    <n v="1436.7"/>
    <n v="44945"/>
    <s v="Processor"/>
    <n v="2.39"/>
    <n v="18542.11"/>
    <n v="4141.2232142857147"/>
    <n v="3.0975578730404452E-2"/>
    <n v="107418.55"/>
    <n v="88876.44"/>
    <s v="OK"/>
    <x v="4"/>
    <s v="Tamale Metro"/>
  </r>
  <r>
    <s v="F0147"/>
    <d v="2025-12-09T00:00:00"/>
    <s v="D05"/>
    <s v="C01"/>
    <n v="14.8"/>
    <n v="30106.5"/>
    <n v="1031.9000000000001"/>
    <n v="29074.6"/>
    <s v="Farm Gate"/>
    <n v="3.2"/>
    <n v="17755.099999999999"/>
    <n v="2034.2229729729729"/>
    <n v="3.4274990450567158E-2"/>
    <n v="93038.720000000001"/>
    <n v="75283.62"/>
    <s v="OK"/>
    <x v="0"/>
    <s v="Hohoe"/>
  </r>
  <r>
    <s v="F0081"/>
    <d v="2026-03-03T00:00:00"/>
    <s v="D05"/>
    <s v="C01"/>
    <n v="13"/>
    <n v="18772.400000000001"/>
    <n v="2764.7"/>
    <n v="16007.7"/>
    <s v="Processor"/>
    <n v="2.78"/>
    <n v="14795.2"/>
    <n v="1444.0307692307692"/>
    <n v="0.14727472246489526"/>
    <n v="44501.405999999995"/>
    <n v="29706.205999999995"/>
    <s v="OK"/>
    <x v="0"/>
    <s v="Hohoe"/>
  </r>
  <r>
    <s v="F0051"/>
    <d v="2026-03-25T00:00:00"/>
    <s v="D05"/>
    <s v="C05"/>
    <n v="4.7"/>
    <n v="7774"/>
    <n v="1143.8"/>
    <n v="6630.2"/>
    <s v="Wholesaler"/>
    <n v="3.98"/>
    <n v="6297.53"/>
    <n v="1654.0425531914893"/>
    <n v="0.14713146385387188"/>
    <n v="26388.196"/>
    <n v="20090.666000000001"/>
    <s v="OK"/>
    <x v="5"/>
    <s v="Hohoe"/>
  </r>
  <r>
    <s v="F0036"/>
    <d v="2026-01-28T00:00:00"/>
    <s v="D05"/>
    <s v="C02"/>
    <n v="3.5"/>
    <n v="8014.4"/>
    <n v="1180.7"/>
    <n v="6833.7"/>
    <s v="Processor"/>
    <n v="6.62"/>
    <n v="3918.66"/>
    <n v="2289.8285714285712"/>
    <n v="0.14732231982431623"/>
    <n v="45239.093999999997"/>
    <n v="41320.433999999994"/>
    <s v="OK"/>
    <x v="2"/>
    <s v="Hohoe"/>
  </r>
  <r>
    <s v="F0218"/>
    <d v="2026-03-30T00:00:00"/>
    <s v="D03"/>
    <s v="C06"/>
    <n v="10.5"/>
    <n v="45486.3"/>
    <n v="1973.5"/>
    <n v="43512.800000000003"/>
    <s v="Local Market"/>
    <n v="2.59"/>
    <n v="9795.58"/>
    <n v="4332.0285714285719"/>
    <n v="4.3386690058325253E-2"/>
    <n v="112698.152"/>
    <n v="102902.572"/>
    <s v="OK"/>
    <x v="4"/>
    <s v="Tamale Metro"/>
  </r>
  <r>
    <s v="F0212"/>
    <d v="2026-02-11T00:00:00"/>
    <s v="D02"/>
    <s v="C06"/>
    <n v="1.6"/>
    <n v="7357.3"/>
    <n v="564.5"/>
    <n v="6792.8"/>
    <s v="Local Market"/>
    <n v="2.29"/>
    <n v="2080.7199999999998"/>
    <n v="4598.3125"/>
    <n v="7.6726516521006344E-2"/>
    <n v="15555.512000000001"/>
    <n v="13474.792000000001"/>
    <s v="OK"/>
    <x v="4"/>
    <s v="Techiman"/>
  </r>
  <r>
    <s v="F0026"/>
    <d v="2026-02-11T00:00:00"/>
    <s v="D05"/>
    <s v="C06"/>
    <n v="2.2999999999999998"/>
    <n v="12044.7"/>
    <n v="250.4"/>
    <n v="11794.3"/>
    <s v="Wholesaler"/>
    <n v="2.27"/>
    <n v="3835.66"/>
    <n v="5236.8260869565229"/>
    <n v="2.0789226796848404E-2"/>
    <n v="26773.060999999998"/>
    <n v="22937.400999999998"/>
    <s v="OK"/>
    <x v="4"/>
    <s v="Hohoe"/>
  </r>
  <r>
    <s v="F0097"/>
    <d v="2026-01-26T00:00:00"/>
    <s v="D05"/>
    <s v="C05"/>
    <n v="10.9"/>
    <n v="13881.5"/>
    <n v="1344.1"/>
    <n v="12537.4"/>
    <s v="Wholesaler"/>
    <n v="3.94"/>
    <n v="17592.96"/>
    <n v="1273.5321100917431"/>
    <n v="9.682671181068328E-2"/>
    <n v="49397.356"/>
    <n v="31804.396000000001"/>
    <s v="OK"/>
    <x v="5"/>
    <s v="Hohoe"/>
  </r>
  <r>
    <s v="F0088"/>
    <d v="2025-11-24T00:00:00"/>
    <s v="D01"/>
    <s v="C03"/>
    <n v="9.1"/>
    <n v="57675.1"/>
    <n v="3370.7"/>
    <n v="54304.4"/>
    <s v="Farm Gate"/>
    <n v="6.97"/>
    <n v="15454.81"/>
    <n v="6337.9230769230771"/>
    <n v="5.8442898235113588E-2"/>
    <n v="378501.66800000001"/>
    <n v="363046.85800000001"/>
    <s v="OK"/>
    <x v="1"/>
    <s v="Ejura"/>
  </r>
  <r>
    <s v="F0108"/>
    <d v="2026-06-28T00:00:00"/>
    <s v="D01"/>
    <s v="C01"/>
    <n v="10.3"/>
    <n v="23577.8"/>
    <n v="2208.3000000000002"/>
    <n v="21369.5"/>
    <s v="Wholesaler"/>
    <n v="3.73"/>
    <n v="18063.54"/>
    <n v="2289.1067961165045"/>
    <n v="9.3660137926354456E-2"/>
    <n v="79708.235000000001"/>
    <n v="61644.695"/>
    <s v="OK"/>
    <x v="0"/>
    <s v="Ejura"/>
  </r>
  <r>
    <s v="F0078"/>
    <d v="2025-10-07T00:00:00"/>
    <s v="D01"/>
    <s v="C03"/>
    <n v="7.8"/>
    <n v="49270.1"/>
    <n v="7374.4"/>
    <n v="41895.699999999997"/>
    <s v="Farm Gate"/>
    <n v="5.99"/>
    <n v="10596.26"/>
    <n v="6316.6794871794873"/>
    <n v="0.14967292536447055"/>
    <n v="250955.24299999999"/>
    <n v="240358.98299999998"/>
    <s v="OK"/>
    <x v="1"/>
    <s v="Ejura"/>
  </r>
  <r>
    <s v="F0218"/>
    <d v="2025-07-07T00:00:00"/>
    <s v="D05"/>
    <s v="C02"/>
    <n v="13.7"/>
    <n v="36176.6"/>
    <n v="1556.4"/>
    <n v="34620.199999999997"/>
    <s v="Wholesaler"/>
    <n v="5.98"/>
    <n v="23332.720000000001"/>
    <n v="2640.6277372262775"/>
    <n v="4.3022285123532893E-2"/>
    <n v="207028.796"/>
    <n v="183696.076"/>
    <s v="OK"/>
    <x v="2"/>
    <s v="Hohoe"/>
  </r>
  <r>
    <s v="F0091"/>
    <d v="2026-04-11T00:00:00"/>
    <s v="D05"/>
    <s v="C05"/>
    <n v="4.8"/>
    <n v="5718"/>
    <n v="388.6"/>
    <n v="5329.4"/>
    <s v="Local Market"/>
    <n v="4.41"/>
    <n v="8634.68"/>
    <n v="1191.25"/>
    <n v="6.7960825463448768E-2"/>
    <n v="23502.653999999999"/>
    <n v="14867.973999999998"/>
    <s v="OK"/>
    <x v="5"/>
    <s v="Hohoe"/>
  </r>
  <r>
    <s v="F0023"/>
    <d v="2026-02-07T00:00:00"/>
    <s v="D05"/>
    <s v="C01"/>
    <n v="12.5"/>
    <n v="15514.5"/>
    <n v="1123.0999999999999"/>
    <n v="14391.4"/>
    <s v="Processor"/>
    <n v="3.02"/>
    <n v="16537.009999999998"/>
    <n v="1241.1600000000001"/>
    <n v="7.239034451642011E-2"/>
    <n v="43462.027999999998"/>
    <n v="26925.018"/>
    <s v="OK"/>
    <x v="0"/>
    <s v="Hohoe"/>
  </r>
  <r>
    <s v="F0106"/>
    <d v="2025-12-15T00:00:00"/>
    <s v="D03"/>
    <s v="C03"/>
    <n v="12.2"/>
    <n v="86598"/>
    <n v="8908.7000000000007"/>
    <n v="77689.3"/>
    <s v="Wholesaler"/>
    <n v="6.23"/>
    <n v="17111.169999999998"/>
    <n v="7098.1967213114758"/>
    <n v="0.10287420032795215"/>
    <n v="484004.33900000004"/>
    <n v="466893.16900000005"/>
    <s v="OK"/>
    <x v="1"/>
    <s v="Tamale Metro"/>
  </r>
  <r>
    <s v="F0166"/>
    <d v="2025-07-16T00:00:00"/>
    <s v="D01"/>
    <s v="C06"/>
    <n v="2.5"/>
    <n v="12825.1"/>
    <n v="1082.9000000000001"/>
    <n v="11742.2"/>
    <s v="Wholesaler"/>
    <n v="2.04"/>
    <n v="4235.6000000000004"/>
    <n v="5130.04"/>
    <n v="8.4435988803206213E-2"/>
    <n v="23954.088000000003"/>
    <n v="19718.488000000005"/>
    <s v="OK"/>
    <x v="4"/>
    <s v="Ejura"/>
  </r>
  <r>
    <s v="F0015"/>
    <d v="2026-02-13T00:00:00"/>
    <s v="D04"/>
    <s v="C02"/>
    <n v="2.5"/>
    <n v="7381.5"/>
    <n v="1136.7"/>
    <n v="6244.8"/>
    <s v="Local Market"/>
    <n v="6.03"/>
    <n v="4450.05"/>
    <n v="2952.6"/>
    <n v="0.15399309083519611"/>
    <n v="37656.144"/>
    <n v="33206.093999999997"/>
    <s v="OK"/>
    <x v="2"/>
    <s v="Kintampo"/>
  </r>
  <r>
    <s v="F0017"/>
    <d v="2025-08-24T00:00:00"/>
    <s v="D02"/>
    <s v="C01"/>
    <n v="14.9"/>
    <n v="19116"/>
    <n v="749.5"/>
    <n v="18366.5"/>
    <s v="Processor"/>
    <n v="3.55"/>
    <n v="23735.65"/>
    <n v="1282.9530201342282"/>
    <n v="3.9207993304038499E-2"/>
    <n v="65201.074999999997"/>
    <n v="41465.424999999996"/>
    <s v="OK"/>
    <x v="0"/>
    <s v="Techiman"/>
  </r>
  <r>
    <s v="F0061"/>
    <d v="2025-11-18T00:00:00"/>
    <s v="D05"/>
    <s v="C02"/>
    <n v="6.9"/>
    <n v="18221.3"/>
    <n v="1133.3"/>
    <n v="17088"/>
    <s v="Local Market"/>
    <n v="6.04"/>
    <n v="11821.29"/>
    <n v="2640.7681159420285"/>
    <n v="6.2196440429607106E-2"/>
    <n v="103211.52"/>
    <n v="91390.23000000001"/>
    <s v="OK"/>
    <x v="2"/>
    <s v="Hohoe"/>
  </r>
  <r>
    <s v="F0053"/>
    <d v="2026-05-09T00:00:00"/>
    <s v="D01"/>
    <s v="C02"/>
    <n v="3.8"/>
    <n v="6993.7"/>
    <n v="897.8"/>
    <n v="6095.9"/>
    <s v="Wholesaler"/>
    <n v="6.8"/>
    <n v="5437.28"/>
    <n v="1840.4473684210527"/>
    <n v="0.12837267826758367"/>
    <n v="41452.119999999995"/>
    <n v="36014.839999999997"/>
    <s v="OK"/>
    <x v="2"/>
    <s v="Ejura"/>
  </r>
  <r>
    <s v="F0044"/>
    <d v="2025-09-30T00:00:00"/>
    <s v="D01"/>
    <s v="C05"/>
    <n v="2.1"/>
    <n v="3626.9"/>
    <n v="249.5"/>
    <n v="3377.4"/>
    <s v="Wholesaler"/>
    <n v="5.26"/>
    <n v="2414.7399999999998"/>
    <n v="1727.0952380952381"/>
    <n v="6.8791529956712338E-2"/>
    <n v="17765.124"/>
    <n v="15350.384"/>
    <s v="OK"/>
    <x v="5"/>
    <s v="Ejura"/>
  </r>
  <r>
    <s v="F0038"/>
    <d v="2025-07-01T00:00:00"/>
    <s v="D05"/>
    <s v="C04"/>
    <n v="10.4"/>
    <n v="41386.699999999997"/>
    <n v="5675.8"/>
    <n v="35710.9"/>
    <s v="Wholesaler"/>
    <n v="10.73"/>
    <n v="14613.8"/>
    <n v="3979.4903846153843"/>
    <n v="0.13714067562767751"/>
    <n v="383177.95700000005"/>
    <n v="368564.15700000006"/>
    <s v="OK"/>
    <x v="3"/>
    <s v="Hohoe"/>
  </r>
  <r>
    <s v="F0050"/>
    <d v="2026-06-03T00:00:00"/>
    <s v="D02"/>
    <s v="C06"/>
    <n v="8.5"/>
    <n v="35569.9"/>
    <n v="2476"/>
    <n v="33093.9"/>
    <s v="Local Market"/>
    <n v="2.41"/>
    <n v="9137.4500000000007"/>
    <n v="4184.6941176470591"/>
    <n v="6.9609416950848893E-2"/>
    <n v="79756.299000000014"/>
    <n v="70618.849000000017"/>
    <s v="OK"/>
    <x v="4"/>
    <s v="Techiman"/>
  </r>
  <r>
    <s v="F0082"/>
    <d v="2026-04-16T00:00:00"/>
    <s v="D05"/>
    <s v="C03"/>
    <n v="14.1"/>
    <n v="102270.2"/>
    <n v="11565.8"/>
    <n v="90704.4"/>
    <s v="Processor"/>
    <n v="5.58"/>
    <n v="16917.400000000001"/>
    <n v="7253.2056737588655"/>
    <n v="0.11309061681702001"/>
    <n v="506130.55199999997"/>
    <n v="489213.15199999994"/>
    <s v="OK"/>
    <x v="1"/>
    <s v="Hohoe"/>
  </r>
  <r>
    <s v="F0101"/>
    <d v="2025-12-11T00:00:00"/>
    <s v="D04"/>
    <s v="C02"/>
    <n v="4"/>
    <n v="8578.5"/>
    <n v="501.4"/>
    <n v="8077.1"/>
    <s v="Wholesaler"/>
    <n v="6.29"/>
    <n v="4519.3"/>
    <n v="2144.625"/>
    <n v="5.8448446698140699E-2"/>
    <n v="50804.959000000003"/>
    <n v="46285.659"/>
    <s v="OK"/>
    <x v="2"/>
    <s v="Kintampo"/>
  </r>
  <r>
    <s v="F0013"/>
    <d v="2026-01-04T00:00:00"/>
    <s v="D01"/>
    <s v="C02"/>
    <n v="2.5"/>
    <n v="5925.5"/>
    <n v="866.9"/>
    <n v="5058.6000000000004"/>
    <s v="Farm Gate"/>
    <n v="6.4"/>
    <n v="2410.33"/>
    <n v="2370.1999999999998"/>
    <n v="0.14629989030461565"/>
    <n v="32375.040000000005"/>
    <n v="29964.710000000006"/>
    <s v="OK"/>
    <x v="2"/>
    <s v="Ejura"/>
  </r>
  <r>
    <s v="F0167"/>
    <d v="2026-03-03T00:00:00"/>
    <s v="D02"/>
    <s v="C04"/>
    <n v="13.1"/>
    <n v="81921.8"/>
    <n v="2906.3"/>
    <n v="79015.5"/>
    <s v="Wholesaler"/>
    <n v="10.14"/>
    <n v="22148.98"/>
    <n v="6253.5725190839703"/>
    <n v="3.5476515408596983E-2"/>
    <n v="801217.17"/>
    <n v="779068.19000000006"/>
    <s v="OK"/>
    <x v="3"/>
    <s v="Techiman"/>
  </r>
  <r>
    <s v="F0013"/>
    <d v="2026-01-19T00:00:00"/>
    <s v="D05"/>
    <s v="C05"/>
    <n v="13.7"/>
    <n v="25724.3"/>
    <n v="1010.4"/>
    <n v="24713.9"/>
    <s v="Farm Gate"/>
    <n v="4.93"/>
    <n v="10716.98"/>
    <n v="1877.6861313868615"/>
    <n v="3.9278036720143988E-2"/>
    <n v="121839.527"/>
    <n v="111122.54700000001"/>
    <s v="OK"/>
    <x v="5"/>
    <s v="Hohoe"/>
  </r>
  <r>
    <s v="F0121"/>
    <d v="2026-03-28T00:00:00"/>
    <s v="D03"/>
    <s v="C02"/>
    <n v="2.9"/>
    <n v="8335.5"/>
    <n v="617"/>
    <n v="7718.5"/>
    <s v="Local Market"/>
    <n v="5.85"/>
    <n v="5125.54"/>
    <n v="2874.3103448275865"/>
    <n v="7.4020754603803016E-2"/>
    <n v="45153.224999999999"/>
    <n v="40027.684999999998"/>
    <s v="OK"/>
    <x v="2"/>
    <s v="Tamale Metro"/>
  </r>
  <r>
    <s v="F0052"/>
    <d v="2025-07-17T00:00:00"/>
    <s v="D01"/>
    <s v="C01"/>
    <n v="10.1"/>
    <n v="15986.1"/>
    <n v="1765.8"/>
    <n v="14220.3"/>
    <s v="Wholesaler"/>
    <n v="3.67"/>
    <n v="11152.74"/>
    <n v="1582.7821782178219"/>
    <n v="0.11045846078780941"/>
    <n v="52188.500999999997"/>
    <n v="41035.760999999999"/>
    <s v="OK"/>
    <x v="0"/>
    <s v="Ejura"/>
  </r>
  <r>
    <s v="F0083"/>
    <d v="2025-09-30T00:00:00"/>
    <s v="D02"/>
    <s v="C06"/>
    <n v="4.9000000000000004"/>
    <n v="28105"/>
    <n v="1074.2"/>
    <n v="27030.799999999999"/>
    <s v="Wholesaler"/>
    <n v="2.54"/>
    <n v="7243.95"/>
    <n v="5735.7142857142853"/>
    <n v="3.8220957125066714E-2"/>
    <n v="68658.232000000004"/>
    <n v="61414.282000000007"/>
    <s v="OK"/>
    <x v="4"/>
    <s v="Techiman"/>
  </r>
  <r>
    <s v="F0114"/>
    <d v="2026-01-07T00:00:00"/>
    <s v="D03"/>
    <s v="C04"/>
    <n v="3.7"/>
    <n v="17731.5"/>
    <n v="1403.1"/>
    <n v="16328.4"/>
    <s v="Farm Gate"/>
    <n v="9.9499999999999993"/>
    <n v="4850.9399999999996"/>
    <n v="4792.2972972972975"/>
    <n v="7.9130361221554854E-2"/>
    <n v="162467.57999999999"/>
    <n v="157616.63999999998"/>
    <s v="OK"/>
    <x v="3"/>
    <s v="Tamale Metro"/>
  </r>
  <r>
    <s v="F0143"/>
    <d v="2026-03-29T00:00:00"/>
    <s v="D05"/>
    <s v="C06"/>
    <n v="2.2999999999999998"/>
    <n v="17141"/>
    <n v="542"/>
    <n v="16599"/>
    <s v="Farm Gate"/>
    <n v="2.5099999999999998"/>
    <n v="2651.01"/>
    <n v="7452.6086956521749"/>
    <n v="3.1620092176652473E-2"/>
    <n v="41663.49"/>
    <n v="39012.479999999996"/>
    <s v="OK"/>
    <x v="4"/>
    <s v="Hohoe"/>
  </r>
  <r>
    <s v="F0107"/>
    <d v="2025-08-04T00:00:00"/>
    <s v="D03"/>
    <s v="C02"/>
    <n v="8.1999999999999993"/>
    <n v="15579"/>
    <n v="2413.4"/>
    <n v="13165.6"/>
    <s v="Local Market"/>
    <n v="6.11"/>
    <n v="11901.51"/>
    <n v="1899.8780487804879"/>
    <n v="0.15491366583221003"/>
    <n v="80441.816000000006"/>
    <n v="68540.306000000011"/>
    <s v="OK"/>
    <x v="2"/>
    <s v="Tamale Metro"/>
  </r>
  <r>
    <s v="F0135"/>
    <d v="2025-09-13T00:00:00"/>
    <s v="D04"/>
    <s v="C01"/>
    <n v="3.9"/>
    <n v="6034.2"/>
    <n v="892.4"/>
    <n v="5141.8"/>
    <s v="Local Market"/>
    <n v="3.35"/>
    <n v="5961.92"/>
    <n v="1547.2307692307693"/>
    <n v="0.14789035829107422"/>
    <n v="17225.030000000002"/>
    <n v="11263.110000000002"/>
    <s v="OK"/>
    <x v="0"/>
    <s v="Kintampo"/>
  </r>
  <r>
    <s v="F0204"/>
    <d v="2025-10-15T00:00:00"/>
    <s v="D01"/>
    <s v="C05"/>
    <n v="7.5"/>
    <n v="13471"/>
    <n v="1830.8"/>
    <n v="11640.2"/>
    <s v="Processor"/>
    <n v="5.0999999999999996"/>
    <n v="10699.31"/>
    <n v="1796.1333333333334"/>
    <n v="0.13590676267537674"/>
    <n v="59365.02"/>
    <n v="48665.71"/>
    <s v="OK"/>
    <x v="5"/>
    <s v="Ejura"/>
  </r>
  <r>
    <s v="F0185"/>
    <d v="2025-12-20T00:00:00"/>
    <s v="D05"/>
    <s v="C01"/>
    <n v="7.2"/>
    <n v="8889.4"/>
    <n v="771.4"/>
    <n v="8118"/>
    <s v="Local Market"/>
    <n v="3.66"/>
    <n v="11598.74"/>
    <n v="1234.6388888888889"/>
    <n v="8.6777510293158139E-2"/>
    <n v="29711.88"/>
    <n v="18113.14"/>
    <s v="OK"/>
    <x v="0"/>
    <s v="Hohoe"/>
  </r>
  <r>
    <s v="F0071"/>
    <d v="2026-02-21T00:00:00"/>
    <s v="D04"/>
    <s v="C02"/>
    <n v="12.3"/>
    <n v="24870.1"/>
    <n v="1346.9"/>
    <n v="23523.200000000001"/>
    <s v="Local Market"/>
    <n v="6.62"/>
    <n v="20393.63"/>
    <n v="2021.9593495934957"/>
    <n v="5.4157401860064902E-2"/>
    <n v="155723.584"/>
    <n v="135329.954"/>
    <s v="OK"/>
    <x v="2"/>
    <s v="Kintampo"/>
  </r>
  <r>
    <s v="F0131"/>
    <d v="2025-11-21T00:00:00"/>
    <s v="D01"/>
    <s v="C03"/>
    <n v="10.8"/>
    <n v="72230.100000000006"/>
    <n v="2029.9"/>
    <n v="70200.2"/>
    <s v="Wholesaler"/>
    <n v="6.8"/>
    <n v="10867.51"/>
    <n v="6687.9722222222226"/>
    <n v="2.8103242277111619E-2"/>
    <n v="477361.36"/>
    <n v="466493.85"/>
    <s v="OK"/>
    <x v="1"/>
    <s v="Ejura"/>
  </r>
  <r>
    <s v="F0037"/>
    <d v="2026-02-17T00:00:00"/>
    <s v="D01"/>
    <s v="C06"/>
    <n v="5.7"/>
    <n v="34684.300000000003"/>
    <n v="5406.4"/>
    <n v="29277.9"/>
    <s v="Processor"/>
    <n v="2.85"/>
    <n v="7065.25"/>
    <n v="6084.9649122807023"/>
    <n v="0.15587455995940525"/>
    <n v="83442.015000000014"/>
    <n v="76376.765000000014"/>
    <s v="OK"/>
    <x v="4"/>
    <s v="Ejura"/>
  </r>
  <r>
    <s v="F0005"/>
    <d v="2026-04-23T00:00:00"/>
    <s v="D05"/>
    <s v="C05"/>
    <n v="5.6"/>
    <n v="7716.5"/>
    <n v="975.1"/>
    <n v="6741.4"/>
    <s v="Local Market"/>
    <n v="4.33"/>
    <n v="3665.21"/>
    <n v="1377.9464285714287"/>
    <n v="0.12636558025011341"/>
    <n v="29190.261999999999"/>
    <n v="25525.052"/>
    <s v="OK"/>
    <x v="5"/>
    <s v="Hohoe"/>
  </r>
  <r>
    <s v="F0124"/>
    <d v="2026-02-06T00:00:00"/>
    <s v="D04"/>
    <s v="C04"/>
    <n v="4.5999999999999996"/>
    <n v="28169.5"/>
    <n v="3717.5"/>
    <n v="24452"/>
    <s v="Farm Gate"/>
    <n v="8.2899999999999991"/>
    <n v="8261.2999999999993"/>
    <n v="6123.804347826087"/>
    <n v="0.13196897353520651"/>
    <n v="202707.08"/>
    <n v="194445.78"/>
    <s v="OK"/>
    <x v="3"/>
    <s v="Kintampo"/>
  </r>
  <r>
    <s v="F0044"/>
    <d v="2025-08-09T00:00:00"/>
    <s v="D02"/>
    <s v="C03"/>
    <n v="5.9"/>
    <n v="47879.3"/>
    <n v="3954.1"/>
    <n v="43925.2"/>
    <s v="Wholesaler"/>
    <n v="7.74"/>
    <n v="4771.38"/>
    <n v="8115.1355932203387"/>
    <n v="8.2584749568184998E-2"/>
    <n v="339981.04800000001"/>
    <n v="335209.66800000001"/>
    <s v="OK"/>
    <x v="1"/>
    <s v="Techiman"/>
  </r>
  <r>
    <s v="F0199"/>
    <d v="2025-08-30T00:00:00"/>
    <s v="D05"/>
    <s v="C05"/>
    <n v="6"/>
    <n v="10857.9"/>
    <n v="923.5"/>
    <n v="9934.4"/>
    <s v="Processor"/>
    <n v="4.51"/>
    <n v="5479.79"/>
    <n v="1809.6499999999999"/>
    <n v="8.5053279179215138E-2"/>
    <n v="44804.143999999993"/>
    <n v="39324.353999999992"/>
    <s v="OK"/>
    <x v="5"/>
    <s v="Hohoe"/>
  </r>
  <r>
    <s v="F0015"/>
    <d v="2025-10-02T00:00:00"/>
    <s v="D01"/>
    <s v="C01"/>
    <n v="4.5999999999999996"/>
    <n v="8429.5"/>
    <n v="723.4"/>
    <n v="7706.1"/>
    <s v="Processor"/>
    <n v="2.74"/>
    <n v="4928.9399999999996"/>
    <n v="1832.5000000000002"/>
    <n v="8.5817664155643861E-2"/>
    <n v="21114.714000000004"/>
    <n v="16185.774000000005"/>
    <s v="OK"/>
    <x v="0"/>
    <s v="Ejura"/>
  </r>
  <r>
    <s v="F0092"/>
    <d v="2026-02-26T00:00:00"/>
    <s v="D04"/>
    <s v="C02"/>
    <n v="15"/>
    <n v="42073.9"/>
    <n v="5835.1"/>
    <n v="36238.800000000003"/>
    <s v="Processor"/>
    <n v="6.5"/>
    <n v="24259"/>
    <n v="2804.9266666666667"/>
    <n v="0.13868692942655661"/>
    <n v="235552.2"/>
    <n v="211293.2"/>
    <s v="OK"/>
    <x v="2"/>
    <s v="Kintampo"/>
  </r>
  <r>
    <s v="F0120"/>
    <d v="2025-08-20T00:00:00"/>
    <s v="D01"/>
    <s v="C05"/>
    <n v="8.3000000000000007"/>
    <n v="12917.2"/>
    <n v="349"/>
    <n v="12568.2"/>
    <s v="Local Market"/>
    <n v="5.04"/>
    <n v="6372.41"/>
    <n v="1556.2891566265059"/>
    <n v="2.7018239246895611E-2"/>
    <n v="63343.728000000003"/>
    <n v="56971.317999999999"/>
    <s v="OK"/>
    <x v="5"/>
    <s v="Ejura"/>
  </r>
  <r>
    <s v="F0194"/>
    <d v="2026-05-16T00:00:00"/>
    <s v="D01"/>
    <s v="C04"/>
    <n v="10.8"/>
    <n v="66981.3"/>
    <n v="7236.7"/>
    <n v="59744.6"/>
    <s v="Processor"/>
    <n v="7.72"/>
    <n v="16142.19"/>
    <n v="6201.9722222222217"/>
    <n v="0.10804060237708135"/>
    <n v="461228.31199999998"/>
    <n v="445086.12199999997"/>
    <s v="OK"/>
    <x v="3"/>
    <s v="Ejura"/>
  </r>
  <r>
    <s v="F0130"/>
    <d v="2025-08-12T00:00:00"/>
    <s v="D03"/>
    <s v="C05"/>
    <n v="10"/>
    <n v="14455.5"/>
    <n v="1619.4"/>
    <n v="12836.1"/>
    <s v="Wholesaler"/>
    <n v="3.98"/>
    <n v="13591.86"/>
    <n v="1445.55"/>
    <n v="0.11202656428349073"/>
    <n v="51087.678"/>
    <n v="37495.817999999999"/>
    <s v="OK"/>
    <x v="5"/>
    <s v="Tamale Metro"/>
  </r>
  <r>
    <s v="F0028"/>
    <d v="2026-03-05T00:00:00"/>
    <s v="D01"/>
    <s v="C04"/>
    <n v="13.6"/>
    <n v="58261.1"/>
    <n v="4618.5"/>
    <n v="53642.6"/>
    <s v="Local Market"/>
    <n v="10.41"/>
    <n v="23921.18"/>
    <n v="4283.9044117647063"/>
    <n v="7.9272447653751812E-2"/>
    <n v="558419.46600000001"/>
    <n v="534498.28599999996"/>
    <s v="OK"/>
    <x v="3"/>
    <s v="Ejura"/>
  </r>
  <r>
    <s v="F0025"/>
    <d v="2026-02-13T00:00:00"/>
    <s v="D04"/>
    <s v="C03"/>
    <n v="12.5"/>
    <n v="98698"/>
    <n v="12500.3"/>
    <n v="86197.7"/>
    <s v="Farm Gate"/>
    <n v="7.56"/>
    <n v="15512.52"/>
    <n v="7895.84"/>
    <n v="0.12665200915925348"/>
    <n v="651654.61199999996"/>
    <n v="636142.09199999995"/>
    <s v="OK"/>
    <x v="1"/>
    <s v="Kintampo"/>
  </r>
  <r>
    <s v="F0199"/>
    <d v="2026-06-25T00:00:00"/>
    <s v="D03"/>
    <s v="C05"/>
    <n v="14.3"/>
    <n v="15693.2"/>
    <n v="2020.8"/>
    <n v="13672.4"/>
    <s v="Farm Gate"/>
    <n v="4.59"/>
    <n v="19102.72"/>
    <n v="1097.4265734265734"/>
    <n v="0.12876914842097212"/>
    <n v="62756.315999999999"/>
    <n v="43653.595999999998"/>
    <s v="OK"/>
    <x v="5"/>
    <s v="Tamale Metro"/>
  </r>
  <r>
    <s v="F0065"/>
    <d v="2026-05-14T00:00:00"/>
    <s v="D05"/>
    <s v="C01"/>
    <n v="9.3000000000000007"/>
    <n v="14504.2"/>
    <n v="1481.1"/>
    <n v="13023.1"/>
    <s v="Local Market"/>
    <n v="2.95"/>
    <n v="8256.65"/>
    <n v="1559.5913978494623"/>
    <n v="0.10211524937604279"/>
    <n v="38418.145000000004"/>
    <n v="30161.495000000003"/>
    <s v="OK"/>
    <x v="0"/>
    <s v="Hohoe"/>
  </r>
  <r>
    <s v="F0121"/>
    <d v="2026-05-26T00:00:00"/>
    <s v="D03"/>
    <s v="C04"/>
    <n v="10.1"/>
    <n v="42972.800000000003"/>
    <n v="1992.8"/>
    <n v="40980"/>
    <s v="Local Market"/>
    <n v="9.69"/>
    <n v="17031.990000000002"/>
    <n v="4254.7326732673273"/>
    <n v="4.6373519994042739E-2"/>
    <n v="397096.19999999995"/>
    <n v="380064.20999999996"/>
    <s v="OK"/>
    <x v="3"/>
    <s v="Tamale Metro"/>
  </r>
  <r>
    <s v="F0063"/>
    <d v="2025-11-22T00:00:00"/>
    <s v="D04"/>
    <s v="C06"/>
    <n v="1.3"/>
    <n v="5799.5"/>
    <n v="397.9"/>
    <n v="5401.6"/>
    <s v="Local Market"/>
    <n v="2.17"/>
    <n v="1865.54"/>
    <n v="4461.1538461538457"/>
    <n v="6.8609362876110011E-2"/>
    <n v="11721.472"/>
    <n v="9855.9320000000007"/>
    <s v="OK"/>
    <x v="4"/>
    <s v="Kintampo"/>
  </r>
  <r>
    <s v="F0008"/>
    <d v="2025-12-18T00:00:00"/>
    <s v="D05"/>
    <s v="C03"/>
    <n v="14"/>
    <n v="81040.899999999994"/>
    <n v="8743.4"/>
    <n v="72297.5"/>
    <s v="Farm Gate"/>
    <n v="6.63"/>
    <n v="16910.05"/>
    <n v="5788.6357142857141"/>
    <n v="0.10788873272631475"/>
    <n v="479332.42499999999"/>
    <n v="462422.375"/>
    <s v="OK"/>
    <x v="1"/>
    <s v="Hohoe"/>
  </r>
  <r>
    <s v="F0063"/>
    <d v="2025-07-18T00:00:00"/>
    <s v="D02"/>
    <s v="C05"/>
    <n v="5.9"/>
    <n v="7021.4"/>
    <n v="298.89999999999998"/>
    <n v="6722.5"/>
    <s v="Processor"/>
    <n v="5.25"/>
    <n v="9655.15"/>
    <n v="1190.0677966101694"/>
    <n v="4.2569857863104223E-2"/>
    <n v="35293.125"/>
    <n v="25637.974999999999"/>
    <s v="OK"/>
    <x v="5"/>
    <s v="Techiman"/>
  </r>
  <r>
    <s v="F0188"/>
    <d v="2026-03-06T00:00:00"/>
    <s v="D04"/>
    <s v="C04"/>
    <n v="7.3"/>
    <n v="24529.4"/>
    <n v="675.6"/>
    <n v="23853.8"/>
    <s v="Processor"/>
    <n v="8.93"/>
    <n v="9660.34"/>
    <n v="3360.1917808219182"/>
    <n v="2.7542459252978057E-2"/>
    <n v="213014.43399999998"/>
    <n v="203354.09399999998"/>
    <s v="OK"/>
    <x v="3"/>
    <s v="Kintampo"/>
  </r>
  <r>
    <s v="F0060"/>
    <d v="2026-05-21T00:00:00"/>
    <s v="D04"/>
    <s v="C04"/>
    <n v="5.8"/>
    <n v="20918.099999999999"/>
    <n v="2874.7"/>
    <n v="18043.400000000001"/>
    <s v="Processor"/>
    <n v="7.89"/>
    <n v="4472.6899999999996"/>
    <n v="3606.5689655172414"/>
    <n v="0.13742643930376086"/>
    <n v="142362.42600000001"/>
    <n v="137889.736"/>
    <s v="OK"/>
    <x v="3"/>
    <s v="Kintampo"/>
  </r>
  <r>
    <s v="F0080"/>
    <d v="2025-09-23T00:00:00"/>
    <s v="D05"/>
    <s v="C02"/>
    <n v="2"/>
    <n v="4322.8999999999996"/>
    <n v="625.70000000000005"/>
    <n v="3697.2"/>
    <s v="Wholesaler"/>
    <n v="6.72"/>
    <n v="1521.92"/>
    <n v="2161.4499999999998"/>
    <n v="0.14474079900067086"/>
    <n v="24845.183999999997"/>
    <n v="23323.263999999996"/>
    <s v="OK"/>
    <x v="2"/>
    <s v="Hohoe"/>
  </r>
  <r>
    <s v="F0144"/>
    <d v="2025-12-30T00:00:00"/>
    <s v="D01"/>
    <s v="C02"/>
    <n v="8.5"/>
    <n v="17422.099999999999"/>
    <n v="1307.2"/>
    <n v="16114.9"/>
    <s v="Wholesaler"/>
    <n v="6.01"/>
    <n v="6545.39"/>
    <n v="2049.6588235294116"/>
    <n v="7.5031138611304046E-2"/>
    <n v="96850.548999999999"/>
    <n v="90305.159"/>
    <s v="OK"/>
    <x v="2"/>
    <s v="Ejura"/>
  </r>
  <r>
    <s v="F0166"/>
    <d v="2026-02-16T00:00:00"/>
    <s v="D03"/>
    <s v="C01"/>
    <n v="13.2"/>
    <n v="17045.599999999999"/>
    <n v="1886.9"/>
    <n v="15158.7"/>
    <s v="Processor"/>
    <n v="3.56"/>
    <n v="12215.31"/>
    <n v="1291.3333333333333"/>
    <n v="0.11069718871732297"/>
    <n v="53964.972000000002"/>
    <n v="41749.662000000004"/>
    <s v="OK"/>
    <x v="0"/>
    <s v="Tamale Metro"/>
  </r>
  <r>
    <s v="F0178"/>
    <d v="2025-07-27T00:00:00"/>
    <s v="D04"/>
    <s v="C06"/>
    <n v="13"/>
    <n v="74797.399999999994"/>
    <n v="6185.5"/>
    <n v="68611.899999999994"/>
    <s v="Local Market"/>
    <n v="2.61"/>
    <n v="9877.5"/>
    <n v="5753.6461538461535"/>
    <n v="8.2696724752464659E-2"/>
    <n v="179077.05899999998"/>
    <n v="169199.55899999998"/>
    <s v="OK"/>
    <x v="4"/>
    <s v="Kintampo"/>
  </r>
  <r>
    <s v="F0154"/>
    <d v="2026-03-07T00:00:00"/>
    <s v="D02"/>
    <s v="C01"/>
    <n v="14.3"/>
    <n v="33232.199999999997"/>
    <n v="3761"/>
    <n v="29471.200000000001"/>
    <s v="Local Market"/>
    <n v="3.64"/>
    <n v="16186.2"/>
    <n v="2323.9300699300697"/>
    <n v="0.11317336799850748"/>
    <n v="107275.16800000001"/>
    <n v="91088.968000000008"/>
    <s v="OK"/>
    <x v="0"/>
    <s v="Techiman"/>
  </r>
  <r>
    <s v="F0204"/>
    <d v="2026-02-21T00:00:00"/>
    <s v="D05"/>
    <s v="C06"/>
    <n v="6.5"/>
    <n v="41653.199999999997"/>
    <n v="5950.2"/>
    <n v="35703"/>
    <s v="Farm Gate"/>
    <n v="2.72"/>
    <n v="6667.76"/>
    <n v="6408.1846153846145"/>
    <n v="0.14285096943332085"/>
    <n v="97112.16"/>
    <n v="90444.400000000009"/>
    <s v="OK"/>
    <x v="4"/>
    <s v="Hohoe"/>
  </r>
  <r>
    <s v="F0066"/>
    <d v="2025-11-06T00:00:00"/>
    <s v="D05"/>
    <s v="C05"/>
    <n v="9.6"/>
    <n v="13948.6"/>
    <n v="279"/>
    <n v="13669.6"/>
    <s v="Processor"/>
    <n v="4.1500000000000004"/>
    <n v="7906.71"/>
    <n v="1452.9791666666667"/>
    <n v="2.000200736991526E-2"/>
    <n v="56728.840000000004"/>
    <n v="48822.130000000005"/>
    <s v="OK"/>
    <x v="5"/>
    <s v="Hohoe"/>
  </r>
  <r>
    <s v="F0183"/>
    <d v="2026-01-10T00:00:00"/>
    <s v="D02"/>
    <s v="C04"/>
    <n v="14.1"/>
    <n v="74796.600000000006"/>
    <n v="10325.4"/>
    <n v="64471.199999999997"/>
    <s v="Farm Gate"/>
    <n v="10.23"/>
    <n v="16731.810000000001"/>
    <n v="5304.72340425532"/>
    <n v="0.13804638178740744"/>
    <n v="659540.37600000005"/>
    <n v="642808.56599999999"/>
    <s v="OK"/>
    <x v="3"/>
    <s v="Techiman"/>
  </r>
  <r>
    <s v="F0081"/>
    <d v="2026-04-03T00:00:00"/>
    <s v="D01"/>
    <s v="C04"/>
    <n v="14.1"/>
    <n v="50531.6"/>
    <n v="3294.8"/>
    <n v="47236.800000000003"/>
    <s v="Local Market"/>
    <n v="8.44"/>
    <n v="19824.54"/>
    <n v="3583.8014184397161"/>
    <n v="6.5202764210909619E-2"/>
    <n v="398678.592"/>
    <n v="378854.05200000003"/>
    <s v="OK"/>
    <x v="3"/>
    <s v="Ejura"/>
  </r>
  <r>
    <s v="F0056"/>
    <d v="2026-04-29T00:00:00"/>
    <s v="D01"/>
    <s v="C04"/>
    <n v="5.6"/>
    <n v="27440.799999999999"/>
    <n v="1919.9"/>
    <n v="25520.9"/>
    <s v="Wholesaler"/>
    <n v="7.98"/>
    <n v="9679.98"/>
    <n v="4900.1428571428569"/>
    <n v="6.996516136555786E-2"/>
    <n v="203656.78200000004"/>
    <n v="193976.80200000003"/>
    <s v="OK"/>
    <x v="3"/>
    <s v="Ejura"/>
  </r>
  <r>
    <s v="F0048"/>
    <d v="2025-12-03T00:00:00"/>
    <s v="D05"/>
    <s v="C04"/>
    <n v="3.2"/>
    <n v="20272.7"/>
    <n v="456.5"/>
    <n v="19816.2"/>
    <s v="Processor"/>
    <n v="8.41"/>
    <n v="3209.57"/>
    <n v="6335.21875"/>
    <n v="2.2517967512960778E-2"/>
    <n v="166654.242"/>
    <n v="163444.67199999999"/>
    <s v="OK"/>
    <x v="3"/>
    <s v="Hohoe"/>
  </r>
  <r>
    <s v="F0164"/>
    <d v="2025-12-12T00:00:00"/>
    <s v="D02"/>
    <s v="C03"/>
    <n v="9.1999999999999993"/>
    <n v="88979.8"/>
    <n v="9037"/>
    <n v="79942.8"/>
    <s v="Processor"/>
    <n v="6.56"/>
    <n v="10371.91"/>
    <n v="9671.717391304348"/>
    <n v="0.10156237707884261"/>
    <n v="524424.76800000004"/>
    <n v="514052.85800000007"/>
    <s v="OK"/>
    <x v="1"/>
    <s v="Techiman"/>
  </r>
  <r>
    <s v="F0047"/>
    <d v="2026-02-07T00:00:00"/>
    <s v="D02"/>
    <s v="C02"/>
    <n v="3.9"/>
    <n v="10155"/>
    <n v="1249.2"/>
    <n v="8905.7999999999993"/>
    <s v="Farm Gate"/>
    <n v="6.47"/>
    <n v="5959.01"/>
    <n v="2603.8461538461538"/>
    <n v="0.12301329394387002"/>
    <n v="57620.525999999991"/>
    <n v="51661.515999999989"/>
    <s v="OK"/>
    <x v="2"/>
    <s v="Techiman"/>
  </r>
  <r>
    <s v="F0103"/>
    <d v="2026-04-22T00:00:00"/>
    <s v="D01"/>
    <s v="C02"/>
    <n v="12.8"/>
    <n v="22156.6"/>
    <n v="1404.3"/>
    <n v="20752.3"/>
    <s v="Farm Gate"/>
    <n v="4.9400000000000004"/>
    <n v="9630.34"/>
    <n v="1730.9843749999998"/>
    <n v="6.3380663098128773E-2"/>
    <n v="102516.36200000001"/>
    <n v="92886.022000000012"/>
    <s v="OK"/>
    <x v="2"/>
    <s v="Ejura"/>
  </r>
  <r>
    <s v="F0166"/>
    <d v="2026-03-04T00:00:00"/>
    <s v="D03"/>
    <s v="C03"/>
    <n v="10.9"/>
    <n v="76626.399999999994"/>
    <n v="12244.6"/>
    <n v="64381.8"/>
    <s v="Processor"/>
    <n v="5.91"/>
    <n v="16185.13"/>
    <n v="7029.9449541284393"/>
    <n v="0.15979610160466889"/>
    <n v="380496.43800000002"/>
    <n v="364311.30800000002"/>
    <s v="OK"/>
    <x v="1"/>
    <s v="Tamale Metro"/>
  </r>
  <r>
    <s v="F0177"/>
    <d v="2026-01-12T00:00:00"/>
    <s v="D04"/>
    <s v="C04"/>
    <n v="10.9"/>
    <n v="35377.9"/>
    <n v="2049.9"/>
    <n v="33328"/>
    <s v="Farm Gate"/>
    <n v="7.9"/>
    <n v="17417.150000000001"/>
    <n v="3245.6788990825689"/>
    <n v="5.7942953086531419E-2"/>
    <n v="263291.2"/>
    <n v="245874.05000000002"/>
    <s v="OK"/>
    <x v="3"/>
    <s v="Kintampo"/>
  </r>
  <r>
    <s v="F0154"/>
    <d v="2026-05-01T00:00:00"/>
    <s v="D01"/>
    <s v="C01"/>
    <n v="13.8"/>
    <n v="31728.9"/>
    <n v="1354.9"/>
    <n v="30374"/>
    <s v="Processor"/>
    <n v="3.37"/>
    <n v="17145.740000000002"/>
    <n v="2299.195652173913"/>
    <n v="4.2702394347109415E-2"/>
    <n v="102360.38"/>
    <n v="85214.64"/>
    <s v="OK"/>
    <x v="0"/>
    <s v="Ejura"/>
  </r>
  <r>
    <s v="F0142"/>
    <d v="2026-06-07T00:00:00"/>
    <s v="D02"/>
    <s v="C01"/>
    <n v="11.9"/>
    <n v="27606.5"/>
    <n v="3271.7"/>
    <n v="24334.799999999999"/>
    <s v="Local Market"/>
    <n v="3.15"/>
    <n v="13471.48"/>
    <n v="2319.8739495798318"/>
    <n v="0.11851194465071631"/>
    <n v="76654.62"/>
    <n v="63183.14"/>
    <s v="OK"/>
    <x v="0"/>
    <s v="Techiman"/>
  </r>
  <r>
    <s v="F0086"/>
    <d v="2025-08-14T00:00:00"/>
    <s v="D03"/>
    <s v="C03"/>
    <n v="7.6"/>
    <n v="40733.699999999997"/>
    <n v="2377.3000000000002"/>
    <n v="38356.400000000001"/>
    <s v="Farm Gate"/>
    <n v="7.18"/>
    <n v="6309.44"/>
    <n v="5359.6973684210525"/>
    <n v="5.8361995104790391E-2"/>
    <n v="275398.95199999999"/>
    <n v="269089.51199999999"/>
    <s v="OK"/>
    <x v="1"/>
    <s v="Tamale Metro"/>
  </r>
  <r>
    <s v="F0140"/>
    <d v="2025-07-04T00:00:00"/>
    <s v="D04"/>
    <s v="C02"/>
    <n v="12.8"/>
    <n v="32939.300000000003"/>
    <n v="4094.4"/>
    <n v="28844.9"/>
    <s v="Local Market"/>
    <n v="5.88"/>
    <n v="19182.2"/>
    <n v="2573.3828125"/>
    <n v="0.124301366452839"/>
    <n v="169608.01200000002"/>
    <n v="150425.81200000001"/>
    <s v="OK"/>
    <x v="2"/>
    <s v="Kintampo"/>
  </r>
  <r>
    <s v="F0118"/>
    <d v="2025-12-29T00:00:00"/>
    <s v="D01"/>
    <s v="C01"/>
    <n v="8.6999999999999993"/>
    <n v="15280.1"/>
    <n v="1535.9"/>
    <n v="13744.2"/>
    <s v="Wholesaler"/>
    <n v="3.32"/>
    <n v="11269.81"/>
    <n v="1756.3333333333335"/>
    <n v="0.10051635787723903"/>
    <n v="45630.743999999999"/>
    <n v="34360.934000000001"/>
    <s v="OK"/>
    <x v="0"/>
    <s v="Ejura"/>
  </r>
  <r>
    <s v="F0142"/>
    <d v="2025-09-01T00:00:00"/>
    <s v="D05"/>
    <s v="C02"/>
    <n v="4.7"/>
    <n v="9376.2999999999993"/>
    <n v="1409.6"/>
    <n v="7966.7"/>
    <s v="Processor"/>
    <n v="5.25"/>
    <n v="4861"/>
    <n v="1994.9574468085104"/>
    <n v="0.15033648667384789"/>
    <n v="41825.174999999996"/>
    <n v="36964.174999999996"/>
    <s v="OK"/>
    <x v="2"/>
    <s v="Hohoe"/>
  </r>
  <r>
    <s v="F0070"/>
    <d v="2025-07-31T00:00:00"/>
    <s v="D01"/>
    <s v="C05"/>
    <n v="6.4"/>
    <n v="11518.4"/>
    <n v="246"/>
    <n v="11272.4"/>
    <s v="Local Market"/>
    <n v="4.03"/>
    <n v="6398"/>
    <n v="1799.7499999999998"/>
    <n v="2.1357132935129881E-2"/>
    <n v="45427.772000000004"/>
    <n v="39029.772000000004"/>
    <s v="OK"/>
    <x v="5"/>
    <s v="Ejura"/>
  </r>
  <r>
    <s v="F0053"/>
    <d v="2026-06-14T00:00:00"/>
    <s v="D05"/>
    <s v="C06"/>
    <n v="12.6"/>
    <n v="100047.9"/>
    <n v="8136.3"/>
    <n v="91911.6"/>
    <s v="Wholesaler"/>
    <n v="2.4300000000000002"/>
    <n v="19189.03"/>
    <n v="7940.3095238095239"/>
    <n v="8.1324045782070392E-2"/>
    <n v="223345.18800000002"/>
    <n v="204156.15800000002"/>
    <s v="OK"/>
    <x v="4"/>
    <s v="Hohoe"/>
  </r>
  <r>
    <s v="F0105"/>
    <d v="2025-11-15T00:00:00"/>
    <s v="D03"/>
    <s v="C06"/>
    <n v="4.0999999999999996"/>
    <n v="19305.7"/>
    <n v="1453.3"/>
    <n v="17852.400000000001"/>
    <s v="Wholesaler"/>
    <n v="2.17"/>
    <n v="5057.9399999999996"/>
    <n v="4708.707317073171"/>
    <n v="7.5278285687646648E-2"/>
    <n v="38739.707999999999"/>
    <n v="33681.767999999996"/>
    <s v="OK"/>
    <x v="4"/>
    <s v="Tamale Metro"/>
  </r>
  <r>
    <s v="F0048"/>
    <d v="2026-01-16T00:00:00"/>
    <s v="D05"/>
    <s v="C06"/>
    <n v="13.4"/>
    <n v="90113.2"/>
    <n v="4212.1000000000004"/>
    <n v="85901.1"/>
    <s v="Farm Gate"/>
    <n v="2.78"/>
    <n v="11807.1"/>
    <n v="6724.8656716417909"/>
    <n v="4.6742319660160778E-2"/>
    <n v="238805.05799999999"/>
    <n v="226997.95799999998"/>
    <s v="OK"/>
    <x v="4"/>
    <s v="Hohoe"/>
  </r>
  <r>
    <s v="F0081"/>
    <d v="2026-04-23T00:00:00"/>
    <s v="D03"/>
    <s v="C02"/>
    <n v="9.9"/>
    <n v="16746.2"/>
    <n v="2635.9"/>
    <n v="14110.3"/>
    <s v="Local Market"/>
    <n v="6.34"/>
    <n v="10109.200000000001"/>
    <n v="1691.5353535353536"/>
    <n v="0.15740287348771662"/>
    <n v="89459.301999999996"/>
    <n v="79350.101999999999"/>
    <s v="OK"/>
    <x v="2"/>
    <s v="Tamale Metro"/>
  </r>
  <r>
    <s v="F0174"/>
    <d v="2026-01-23T00:00:00"/>
    <s v="D02"/>
    <s v="C04"/>
    <n v="7.5"/>
    <n v="36969.800000000003"/>
    <n v="3600"/>
    <n v="33369.800000000003"/>
    <s v="Processor"/>
    <n v="10"/>
    <n v="9387.59"/>
    <n v="4929.3066666666673"/>
    <n v="9.7376777802422515E-2"/>
    <n v="333698"/>
    <n v="324310.40999999997"/>
    <s v="OK"/>
    <x v="3"/>
    <s v="Techiman"/>
  </r>
  <r>
    <s v="F0192"/>
    <d v="2025-11-08T00:00:00"/>
    <s v="D01"/>
    <s v="C06"/>
    <n v="5.7"/>
    <n v="42260.9"/>
    <n v="2719.7"/>
    <n v="39541.199999999997"/>
    <s v="Wholesaler"/>
    <n v="2.63"/>
    <n v="8305.85"/>
    <n v="7414.1929824561403"/>
    <n v="6.4354994806073693E-2"/>
    <n v="103993.35599999999"/>
    <n v="95687.505999999979"/>
    <s v="OK"/>
    <x v="4"/>
    <s v="Ejura"/>
  </r>
  <r>
    <s v="F0079"/>
    <d v="2025-12-30T00:00:00"/>
    <s v="D05"/>
    <s v="C06"/>
    <n v="7.8"/>
    <n v="33518.300000000003"/>
    <n v="3703.7"/>
    <n v="29814.6"/>
    <s v="Farm Gate"/>
    <n v="2.2000000000000002"/>
    <n v="9715.98"/>
    <n v="4297.2179487179492"/>
    <n v="0.11049784744453028"/>
    <n v="65592.12"/>
    <n v="55876.14"/>
    <s v="OK"/>
    <x v="4"/>
    <s v="Hohoe"/>
  </r>
  <r>
    <s v="F0107"/>
    <d v="2025-07-13T00:00:00"/>
    <s v="D02"/>
    <s v="C04"/>
    <n v="1"/>
    <n v="4045.8"/>
    <n v="143.30000000000001"/>
    <n v="3902.5"/>
    <s v="Wholesaler"/>
    <n v="7.99"/>
    <n v="958.5"/>
    <n v="4045.8"/>
    <n v="3.541944732809333E-2"/>
    <n v="31180.975000000002"/>
    <n v="30222.475000000002"/>
    <s v="OK"/>
    <x v="3"/>
    <s v="Techiman"/>
  </r>
  <r>
    <s v="F0125"/>
    <d v="2025-12-08T00:00:00"/>
    <s v="D04"/>
    <s v="C06"/>
    <n v="2.4"/>
    <n v="18277.8"/>
    <n v="1686.8"/>
    <n v="16591"/>
    <s v="Farm Gate"/>
    <n v="2.2799999999999998"/>
    <n v="3935.31"/>
    <n v="7615.75"/>
    <n v="9.2286817888367303E-2"/>
    <n v="37827.479999999996"/>
    <n v="33892.17"/>
    <s v="OK"/>
    <x v="4"/>
    <s v="Kintampo"/>
  </r>
  <r>
    <s v="F0181"/>
    <d v="2026-05-29T00:00:00"/>
    <s v="D03"/>
    <s v="C02"/>
    <n v="6.7"/>
    <n v="17559.8"/>
    <n v="1331.5"/>
    <n v="16228.3"/>
    <s v="Farm Gate"/>
    <n v="5.66"/>
    <n v="9936.66"/>
    <n v="2620.8656716417909"/>
    <n v="7.5826603947653171E-2"/>
    <n v="91852.178"/>
    <n v="81915.517999999996"/>
    <s v="OK"/>
    <x v="2"/>
    <s v="Tamale Metro"/>
  </r>
  <r>
    <s v="F0194"/>
    <d v="2025-12-05T00:00:00"/>
    <s v="D02"/>
    <s v="C06"/>
    <n v="13.9"/>
    <n v="68338.3"/>
    <n v="4061"/>
    <n v="64277.3"/>
    <s v="Processor"/>
    <n v="2.35"/>
    <n v="17721.810000000001"/>
    <n v="4916.4244604316546"/>
    <n v="5.9424949113454681E-2"/>
    <n v="151051.655"/>
    <n v="133329.845"/>
    <s v="OK"/>
    <x v="4"/>
    <s v="Techiman"/>
  </r>
  <r>
    <s v="F0031"/>
    <d v="2025-11-02T00:00:00"/>
    <s v="D04"/>
    <s v="C05"/>
    <n v="1.5"/>
    <n v="1464.9"/>
    <n v="98.8"/>
    <n v="1366.1"/>
    <s v="Processor"/>
    <n v="5.2"/>
    <n v="1529.77"/>
    <n v="976.6"/>
    <n v="6.744487678339818E-2"/>
    <n v="7103.7199999999993"/>
    <n v="5573.9499999999989"/>
    <s v="OK"/>
    <x v="5"/>
    <s v="Kintampo"/>
  </r>
  <r>
    <s v="F0150"/>
    <d v="2025-12-02T00:00:00"/>
    <s v="D01"/>
    <s v="C01"/>
    <n v="5.9"/>
    <n v="10165.6"/>
    <n v="863.8"/>
    <n v="9301.7999999999993"/>
    <s v="Processor"/>
    <n v="3.51"/>
    <n v="10063.58"/>
    <n v="1722.9830508474577"/>
    <n v="8.4972849610450929E-2"/>
    <n v="32649.317999999996"/>
    <n v="22585.737999999998"/>
    <s v="OK"/>
    <x v="0"/>
    <s v="Ejura"/>
  </r>
  <r>
    <s v="F0150"/>
    <d v="2026-02-22T00:00:00"/>
    <s v="D03"/>
    <s v="C04"/>
    <n v="7"/>
    <n v="39532.199999999997"/>
    <n v="3315.2"/>
    <n v="36217"/>
    <s v="Local Market"/>
    <n v="9.94"/>
    <n v="7764.39"/>
    <n v="5647.4571428571426"/>
    <n v="8.3860751488659874E-2"/>
    <n v="359996.98"/>
    <n v="352232.58999999997"/>
    <s v="OK"/>
    <x v="3"/>
    <s v="Tamale Metro"/>
  </r>
  <r>
    <s v="F0215"/>
    <d v="2025-11-12T00:00:00"/>
    <s v="D01"/>
    <s v="C03"/>
    <n v="7.2"/>
    <n v="60628.9"/>
    <n v="2324.3000000000002"/>
    <n v="58304.6"/>
    <s v="Wholesaler"/>
    <n v="7.2"/>
    <n v="12362.33"/>
    <n v="8420.6805555555547"/>
    <n v="3.8336502888886327E-2"/>
    <n v="419793.12"/>
    <n v="407430.79"/>
    <s v="OK"/>
    <x v="1"/>
    <s v="Ejura"/>
  </r>
  <r>
    <s v="F0166"/>
    <d v="2026-05-21T00:00:00"/>
    <s v="D02"/>
    <s v="C03"/>
    <n v="14.5"/>
    <n v="73032.600000000006"/>
    <n v="5264.9"/>
    <n v="67767.7"/>
    <s v="Farm Gate"/>
    <n v="6.33"/>
    <n v="21433.07"/>
    <n v="5036.7310344827592"/>
    <n v="7.2089724314894979E-2"/>
    <n v="428969.54099999997"/>
    <n v="407536.47099999996"/>
    <s v="OK"/>
    <x v="1"/>
    <s v="Techiman"/>
  </r>
  <r>
    <s v="F0118"/>
    <d v="2025-07-16T00:00:00"/>
    <s v="D05"/>
    <s v="C03"/>
    <n v="11.7"/>
    <n v="78102.3"/>
    <n v="3903.5"/>
    <n v="74198.8"/>
    <s v="Wholesaler"/>
    <n v="6.5"/>
    <n v="19960.66"/>
    <n v="6675.4102564102568"/>
    <n v="4.9979321991797936E-2"/>
    <n v="482292.2"/>
    <n v="462331.54000000004"/>
    <s v="OK"/>
    <x v="1"/>
    <s v="Hohoe"/>
  </r>
  <r>
    <s v="F0161"/>
    <d v="2026-05-01T00:00:00"/>
    <s v="D01"/>
    <s v="C02"/>
    <n v="13.2"/>
    <n v="24323.5"/>
    <n v="3660.9"/>
    <n v="20662.599999999999"/>
    <s v="Processor"/>
    <n v="5.52"/>
    <n v="16108.13"/>
    <n v="1842.689393939394"/>
    <n v="0.15050876724155651"/>
    <n v="114057.55199999998"/>
    <n v="97949.421999999977"/>
    <s v="OK"/>
    <x v="2"/>
    <s v="Ejura"/>
  </r>
  <r>
    <s v="F0219"/>
    <d v="2026-04-03T00:00:00"/>
    <s v="D02"/>
    <s v="C05"/>
    <n v="3.1"/>
    <n v="4352.3999999999996"/>
    <n v="652.79999999999995"/>
    <n v="3699.6"/>
    <s v="Wholesaler"/>
    <n v="4.91"/>
    <n v="3679.24"/>
    <n v="1403.9999999999998"/>
    <n v="0.14998621450234353"/>
    <n v="18165.036"/>
    <n v="14485.796"/>
    <s v="OK"/>
    <x v="5"/>
    <s v="Techiman"/>
  </r>
  <r>
    <s v="F0050"/>
    <d v="2026-06-28T00:00:00"/>
    <s v="D01"/>
    <s v="C03"/>
    <n v="14.3"/>
    <n v="143731.5"/>
    <n v="20451.900000000001"/>
    <n v="123279.6"/>
    <s v="Local Market"/>
    <n v="5.69"/>
    <n v="17047.169999999998"/>
    <n v="10051.153846153846"/>
    <n v="0.14229239936965801"/>
    <n v="701460.92400000012"/>
    <n v="684413.75400000007"/>
    <s v="OK"/>
    <x v="1"/>
    <s v="Ejura"/>
  </r>
  <r>
    <s v="F0174"/>
    <d v="2025-11-26T00:00:00"/>
    <s v="D04"/>
    <s v="C02"/>
    <n v="14"/>
    <n v="28959.5"/>
    <n v="3737.4"/>
    <n v="25222.1"/>
    <s v="Processor"/>
    <n v="5.36"/>
    <n v="9895.19"/>
    <n v="2068.5357142857142"/>
    <n v="0.12905609558176073"/>
    <n v="135190.45600000001"/>
    <n v="125295.266"/>
    <s v="OK"/>
    <x v="2"/>
    <s v="Kintampo"/>
  </r>
  <r>
    <s v="F0034"/>
    <d v="2026-03-09T00:00:00"/>
    <s v="D01"/>
    <s v="C03"/>
    <n v="13.2"/>
    <n v="96479.2"/>
    <n v="14716.9"/>
    <n v="81762.3"/>
    <s v="Wholesaler"/>
    <n v="5.83"/>
    <n v="13481"/>
    <n v="7309.030303030303"/>
    <n v="0.15253961475634126"/>
    <n v="476674.20900000003"/>
    <n v="463193.20900000003"/>
    <s v="OK"/>
    <x v="1"/>
    <s v="Ejura"/>
  </r>
  <r>
    <s v="F0089"/>
    <d v="2025-11-27T00:00:00"/>
    <s v="D05"/>
    <s v="C02"/>
    <n v="6.6"/>
    <n v="13237.3"/>
    <n v="1952"/>
    <n v="11285.3"/>
    <s v="Processor"/>
    <n v="6.56"/>
    <n v="10941.22"/>
    <n v="2005.6515151515152"/>
    <n v="0.14746209574460048"/>
    <n v="74031.567999999985"/>
    <n v="63090.347999999984"/>
    <s v="OK"/>
    <x v="2"/>
    <s v="Hohoe"/>
  </r>
  <r>
    <s v="F0188"/>
    <d v="2026-04-12T00:00:00"/>
    <s v="D04"/>
    <s v="C01"/>
    <n v="5.5"/>
    <n v="6519.1"/>
    <n v="560.70000000000005"/>
    <n v="5958.4"/>
    <s v="Local Market"/>
    <n v="3.63"/>
    <n v="6648.8"/>
    <n v="1185.2909090909091"/>
    <n v="8.6008804896381408E-2"/>
    <n v="21628.991999999998"/>
    <n v="14980.191999999999"/>
    <s v="OK"/>
    <x v="0"/>
    <s v="Kintampo"/>
  </r>
  <r>
    <s v="F0097"/>
    <d v="2025-09-19T00:00:00"/>
    <s v="D04"/>
    <s v="C05"/>
    <n v="14.6"/>
    <n v="18208.599999999999"/>
    <n v="1359.8"/>
    <n v="16848.8"/>
    <s v="Farm Gate"/>
    <n v="3.91"/>
    <n v="15292.49"/>
    <n v="1247.1643835616437"/>
    <n v="7.4678997836187297E-2"/>
    <n v="65878.808000000005"/>
    <n v="50586.318000000007"/>
    <s v="OK"/>
    <x v="5"/>
    <s v="Kintampo"/>
  </r>
  <r>
    <s v="F0072"/>
    <d v="2025-12-29T00:00:00"/>
    <s v="D04"/>
    <s v="C02"/>
    <n v="8.1999999999999993"/>
    <n v="21435.8"/>
    <n v="1133"/>
    <n v="20302.8"/>
    <s v="Farm Gate"/>
    <n v="5.01"/>
    <n v="5457.63"/>
    <n v="2614.1219512195125"/>
    <n v="5.2855503410182969E-2"/>
    <n v="101717.02799999999"/>
    <n v="96259.397999999986"/>
    <s v="OK"/>
    <x v="2"/>
    <s v="Kintampo"/>
  </r>
  <r>
    <s v="F0059"/>
    <d v="2025-09-21T00:00:00"/>
    <s v="D01"/>
    <s v="C04"/>
    <n v="14.6"/>
    <n v="76661.8"/>
    <n v="7934.3"/>
    <n v="68727.5"/>
    <s v="Farm Gate"/>
    <n v="8.6300000000000008"/>
    <n v="16733.650000000001"/>
    <n v="5250.8082191780823"/>
    <n v="0.10349743940267513"/>
    <n v="593118.32500000007"/>
    <n v="576384.67500000005"/>
    <s v="OK"/>
    <x v="3"/>
    <s v="Ejura"/>
  </r>
  <r>
    <s v="F0002"/>
    <d v="2026-02-05T00:00:00"/>
    <s v="D04"/>
    <s v="C05"/>
    <n v="4.0999999999999996"/>
    <n v="5721"/>
    <n v="280.2"/>
    <n v="5440.8"/>
    <s v="Farm Gate"/>
    <n v="5.25"/>
    <n v="6118.64"/>
    <n v="1395.3658536585367"/>
    <n v="4.8977451494493965E-2"/>
    <n v="28564.2"/>
    <n v="22445.56"/>
    <s v="OK"/>
    <x v="5"/>
    <s v="Kintampo"/>
  </r>
  <r>
    <s v="F0164"/>
    <d v="2025-08-02T00:00:00"/>
    <s v="D05"/>
    <s v="C02"/>
    <n v="11.3"/>
    <n v="30057"/>
    <n v="2956.9"/>
    <n v="27100.1"/>
    <s v="Wholesaler"/>
    <n v="5.59"/>
    <n v="14309.68"/>
    <n v="2659.9115044247787"/>
    <n v="9.8376418138869479E-2"/>
    <n v="151489.55899999998"/>
    <n v="137179.87899999999"/>
    <s v="OK"/>
    <x v="2"/>
    <s v="Hohoe"/>
  </r>
  <r>
    <s v="F0003"/>
    <d v="2026-04-21T00:00:00"/>
    <s v="D04"/>
    <s v="C06"/>
    <n v="7.6"/>
    <n v="47835.199999999997"/>
    <n v="2429.1999999999998"/>
    <n v="45406"/>
    <s v="Farm Gate"/>
    <n v="2.0699999999999998"/>
    <n v="5818.78"/>
    <n v="6294.105263157895"/>
    <n v="5.078268722614309E-2"/>
    <n v="93990.42"/>
    <n v="88171.64"/>
    <s v="OK"/>
    <x v="4"/>
    <s v="Kintampo"/>
  </r>
  <r>
    <s v="F0032"/>
    <d v="2025-08-16T00:00:00"/>
    <s v="D04"/>
    <s v="C03"/>
    <n v="3.5"/>
    <n v="22771.3"/>
    <n v="2350.4"/>
    <n v="20420.900000000001"/>
    <s v="Farm Gate"/>
    <n v="6.1"/>
    <n v="4477.34"/>
    <n v="6506.0857142857139"/>
    <n v="0.10321764677466812"/>
    <n v="124567.49"/>
    <n v="120090.15000000001"/>
    <s v="OK"/>
    <x v="1"/>
    <s v="Kintampo"/>
  </r>
  <r>
    <s v="F0192"/>
    <d v="2025-12-01T00:00:00"/>
    <s v="D03"/>
    <s v="C03"/>
    <n v="4.5999999999999996"/>
    <n v="46047.5"/>
    <n v="2948.3"/>
    <n v="43099.199999999997"/>
    <s v="Wholesaler"/>
    <n v="5.75"/>
    <n v="7210.64"/>
    <n v="10010.326086956522"/>
    <n v="6.4027363049025468E-2"/>
    <n v="247820.4"/>
    <n v="240609.75999999998"/>
    <s v="OK"/>
    <x v="1"/>
    <s v="Tamale Metro"/>
  </r>
  <r>
    <s v="F0059"/>
    <d v="2025-09-19T00:00:00"/>
    <s v="D01"/>
    <s v="C02"/>
    <n v="3.7"/>
    <n v="9875.5"/>
    <n v="367.2"/>
    <n v="9508.2999999999993"/>
    <s v="Farm Gate"/>
    <n v="5.6"/>
    <n v="3459.79"/>
    <n v="2669.0540540540537"/>
    <n v="3.7182927446711561E-2"/>
    <n v="53246.479999999996"/>
    <n v="49786.689999999995"/>
    <s v="OK"/>
    <x v="2"/>
    <s v="Ejura"/>
  </r>
  <r>
    <s v="F0141"/>
    <d v="2025-10-24T00:00:00"/>
    <s v="D04"/>
    <s v="C01"/>
    <n v="4.8"/>
    <n v="6809.6"/>
    <n v="468.6"/>
    <n v="6341"/>
    <s v="Wholesaler"/>
    <n v="3.3"/>
    <n v="8266.68"/>
    <n v="1418.6666666666667"/>
    <n v="6.881461466165413E-2"/>
    <n v="20925.3"/>
    <n v="12658.619999999999"/>
    <s v="OK"/>
    <x v="0"/>
    <s v="Kintampo"/>
  </r>
  <r>
    <s v="F0015"/>
    <d v="2025-11-20T00:00:00"/>
    <s v="D03"/>
    <s v="C05"/>
    <n v="14.8"/>
    <n v="14889.5"/>
    <n v="765.5"/>
    <n v="14124"/>
    <s v="Farm Gate"/>
    <n v="4.4000000000000004"/>
    <n v="14064.97"/>
    <n v="1006.0472972972973"/>
    <n v="5.1412068907619464E-2"/>
    <n v="62145.600000000006"/>
    <n v="48080.630000000005"/>
    <s v="OK"/>
    <x v="5"/>
    <s v="Tamale Metro"/>
  </r>
  <r>
    <s v="F0119"/>
    <d v="2026-05-09T00:00:00"/>
    <s v="D05"/>
    <s v="C04"/>
    <n v="12.4"/>
    <n v="77439.3"/>
    <n v="2708.3"/>
    <n v="74731"/>
    <s v="Local Market"/>
    <n v="8.1300000000000008"/>
    <n v="10711.17"/>
    <n v="6245.1048387096771"/>
    <n v="3.4973198363105036E-2"/>
    <n v="607563.03"/>
    <n v="596851.86"/>
    <s v="OK"/>
    <x v="3"/>
    <s v="Hohoe"/>
  </r>
  <r>
    <s v="F0128"/>
    <d v="2025-07-03T00:00:00"/>
    <s v="D03"/>
    <s v="C04"/>
    <n v="2.1"/>
    <n v="12707.7"/>
    <n v="1925"/>
    <n v="10782.7"/>
    <s v="Processor"/>
    <n v="9.6199999999999992"/>
    <n v="3316.44"/>
    <n v="6051.2857142857147"/>
    <n v="0.15148295915075111"/>
    <n v="103729.57399999999"/>
    <n v="100413.13399999999"/>
    <s v="OK"/>
    <x v="3"/>
    <s v="Tamale Metro"/>
  </r>
  <r>
    <s v="F0089"/>
    <d v="2026-04-09T00:00:00"/>
    <s v="D05"/>
    <s v="C01"/>
    <n v="4.4000000000000004"/>
    <n v="6918.9"/>
    <n v="758.5"/>
    <n v="6160.4"/>
    <s v="Processor"/>
    <n v="3.12"/>
    <n v="4798.46"/>
    <n v="1572.4772727272725"/>
    <n v="0.10962725288701962"/>
    <n v="19220.448"/>
    <n v="14421.988000000001"/>
    <s v="OK"/>
    <x v="0"/>
    <s v="Hohoe"/>
  </r>
  <r>
    <s v="F0208"/>
    <d v="2026-01-04T00:00:00"/>
    <s v="D01"/>
    <s v="C04"/>
    <n v="14.2"/>
    <n v="91846.399999999994"/>
    <n v="11703.8"/>
    <n v="80142.600000000006"/>
    <s v="Local Market"/>
    <n v="10.65"/>
    <n v="24540.959999999999"/>
    <n v="6468.0563380281692"/>
    <n v="0.12742796669221657"/>
    <n v="853518.69000000006"/>
    <n v="828977.7300000001"/>
    <s v="OK"/>
    <x v="3"/>
    <s v="Ejura"/>
  </r>
  <r>
    <s v="F0067"/>
    <d v="2025-07-01T00:00:00"/>
    <s v="D01"/>
    <s v="C06"/>
    <n v="5.8"/>
    <n v="42463.5"/>
    <n v="1609.5"/>
    <n v="40854"/>
    <s v="Wholesaler"/>
    <n v="2.15"/>
    <n v="3938.92"/>
    <n v="7321.2931034482763"/>
    <n v="3.7903140344060192E-2"/>
    <n v="87836.099999999991"/>
    <n v="83897.18"/>
    <s v="OK"/>
    <x v="4"/>
    <s v="Ejura"/>
  </r>
  <r>
    <s v="F0128"/>
    <d v="2026-01-16T00:00:00"/>
    <s v="D01"/>
    <s v="C02"/>
    <n v="3.9"/>
    <n v="7437"/>
    <n v="322.10000000000002"/>
    <n v="7114.9"/>
    <s v="Local Market"/>
    <n v="6.75"/>
    <n v="2752.79"/>
    <n v="1906.9230769230769"/>
    <n v="4.3310474653758237E-2"/>
    <n v="48025.574999999997"/>
    <n v="45272.784999999996"/>
    <s v="OK"/>
    <x v="2"/>
    <s v="Ejura"/>
  </r>
  <r>
    <s v="F0009"/>
    <d v="2025-07-20T00:00:00"/>
    <s v="D03"/>
    <s v="C02"/>
    <n v="1.4"/>
    <n v="4031.7"/>
    <n v="552"/>
    <n v="3479.7"/>
    <s v="Local Market"/>
    <n v="6.71"/>
    <n v="1217.6199999999999"/>
    <n v="2879.7857142857142"/>
    <n v="0.1369149490289456"/>
    <n v="23348.787"/>
    <n v="22131.167000000001"/>
    <s v="OK"/>
    <x v="2"/>
    <s v="Tamale Metro"/>
  </r>
  <r>
    <s v="F0174"/>
    <d v="2026-01-21T00:00:00"/>
    <s v="D02"/>
    <s v="C06"/>
    <n v="14.1"/>
    <n v="68627.8"/>
    <n v="5308.6"/>
    <n v="63319.199999999997"/>
    <s v="Processor"/>
    <n v="2.0499999999999998"/>
    <n v="21697.17"/>
    <n v="4867.2198581560287"/>
    <n v="7.7353492316524788E-2"/>
    <n v="129804.35999999999"/>
    <n v="108107.18999999999"/>
    <s v="OK"/>
    <x v="4"/>
    <s v="Techiman"/>
  </r>
  <r>
    <s v="F0109"/>
    <d v="2026-04-17T00:00:00"/>
    <s v="D01"/>
    <s v="C06"/>
    <n v="5.3"/>
    <n v="25983.200000000001"/>
    <n v="1908.2"/>
    <n v="24075"/>
    <s v="Wholesaler"/>
    <n v="2.33"/>
    <n v="9151.64"/>
    <n v="4902.4905660377362"/>
    <n v="7.3439761076387819E-2"/>
    <n v="56094.75"/>
    <n v="46943.11"/>
    <s v="OK"/>
    <x v="4"/>
    <s v="Ejura"/>
  </r>
  <r>
    <s v="F0206"/>
    <d v="2025-07-25T00:00:00"/>
    <s v="D04"/>
    <s v="C05"/>
    <n v="12.4"/>
    <n v="17538.5"/>
    <n v="930.4"/>
    <n v="16608.099999999999"/>
    <s v="Wholesaler"/>
    <n v="4.1500000000000004"/>
    <n v="19686.36"/>
    <n v="1414.3951612903224"/>
    <n v="5.3049006471477034E-2"/>
    <n v="68923.615000000005"/>
    <n v="49237.255000000005"/>
    <s v="OK"/>
    <x v="5"/>
    <s v="Kintampo"/>
  </r>
  <r>
    <s v="F0063"/>
    <d v="2025-12-04T00:00:00"/>
    <s v="D03"/>
    <s v="C01"/>
    <n v="3"/>
    <n v="6363.2"/>
    <n v="184.7"/>
    <n v="6178.5"/>
    <s v="Farm Gate"/>
    <n v="3.79"/>
    <n v="3863.41"/>
    <n v="2121.0666666666666"/>
    <n v="2.9026276087503144E-2"/>
    <n v="23416.514999999999"/>
    <n v="19553.105"/>
    <s v="OK"/>
    <x v="0"/>
    <s v="Tamale Metro"/>
  </r>
  <r>
    <s v="F0218"/>
    <d v="2026-02-11T00:00:00"/>
    <s v="D02"/>
    <s v="C06"/>
    <n v="13.4"/>
    <n v="97385.5"/>
    <n v="14526.3"/>
    <n v="82859.199999999997"/>
    <s v="Processor"/>
    <n v="2.42"/>
    <n v="18981.580000000002"/>
    <n v="7267.5746268656712"/>
    <n v="0.1491628630545615"/>
    <n v="200519.264"/>
    <n v="181537.68400000001"/>
    <s v="OK"/>
    <x v="4"/>
    <s v="Techiman"/>
  </r>
  <r>
    <s v="F0022"/>
    <d v="2026-03-14T00:00:00"/>
    <s v="D03"/>
    <s v="C05"/>
    <n v="3.9"/>
    <n v="6134.9"/>
    <n v="681.2"/>
    <n v="5453.7"/>
    <s v="Processor"/>
    <n v="4.99"/>
    <n v="6647.42"/>
    <n v="1573.051282051282"/>
    <n v="0.11103685471645831"/>
    <n v="27213.963"/>
    <n v="20566.542999999998"/>
    <s v="OK"/>
    <x v="5"/>
    <s v="Tamale Metro"/>
  </r>
  <r>
    <s v="F0045"/>
    <d v="2025-12-07T00:00:00"/>
    <s v="D01"/>
    <s v="C06"/>
    <n v="6.7"/>
    <n v="41975.199999999997"/>
    <n v="4558.1000000000004"/>
    <n v="37417.1"/>
    <s v="Local Market"/>
    <n v="2.25"/>
    <n v="4796.8500000000004"/>
    <n v="6264.9552238805963"/>
    <n v="0.10859031046903887"/>
    <n v="84188.474999999991"/>
    <n v="79391.624999999985"/>
    <s v="OK"/>
    <x v="4"/>
    <s v="Ejura"/>
  </r>
  <r>
    <s v="F0050"/>
    <d v="2025-08-23T00:00:00"/>
    <s v="D01"/>
    <s v="C01"/>
    <n v="11.4"/>
    <n v="13756.2"/>
    <n v="1207.5999999999999"/>
    <n v="12548.6"/>
    <s v="Wholesaler"/>
    <n v="3.2"/>
    <n v="18516.900000000001"/>
    <n v="1206.6842105263158"/>
    <n v="8.7785871098123011E-2"/>
    <n v="40155.520000000004"/>
    <n v="21638.620000000003"/>
    <s v="OK"/>
    <x v="0"/>
    <s v="Ejura"/>
  </r>
  <r>
    <s v="F0178"/>
    <d v="2025-09-16T00:00:00"/>
    <s v="D01"/>
    <s v="C02"/>
    <n v="5.2"/>
    <n v="12301.1"/>
    <n v="607.79999999999995"/>
    <n v="11693.3"/>
    <s v="Farm Gate"/>
    <n v="5.7"/>
    <n v="7817.51"/>
    <n v="2365.5961538461538"/>
    <n v="4.9410215346595017E-2"/>
    <n v="66651.81"/>
    <n v="58834.299999999996"/>
    <s v="OK"/>
    <x v="2"/>
    <s v="Ejura"/>
  </r>
  <r>
    <s v="F0037"/>
    <d v="2026-05-07T00:00:00"/>
    <s v="D05"/>
    <s v="C05"/>
    <n v="13.9"/>
    <n v="14758.2"/>
    <n v="2200.4"/>
    <n v="12557.8"/>
    <s v="Wholesaler"/>
    <n v="4.5999999999999996"/>
    <n v="9283.68"/>
    <n v="1061.7410071942447"/>
    <n v="0.14909677331923948"/>
    <n v="57765.87999999999"/>
    <n v="48482.19999999999"/>
    <s v="OK"/>
    <x v="5"/>
    <s v="Hohoe"/>
  </r>
  <r>
    <s v="F0015"/>
    <d v="2026-03-10T00:00:00"/>
    <s v="D02"/>
    <s v="C02"/>
    <n v="6.4"/>
    <n v="16326.8"/>
    <n v="1014.3"/>
    <n v="15312.5"/>
    <s v="Wholesaler"/>
    <n v="5.12"/>
    <n v="5285.59"/>
    <n v="2551.0624999999995"/>
    <n v="6.2124849939975989E-2"/>
    <n v="78400"/>
    <n v="73114.41"/>
    <s v="OK"/>
    <x v="2"/>
    <s v="Techiman"/>
  </r>
  <r>
    <s v="F0187"/>
    <d v="2025-11-25T00:00:00"/>
    <s v="D05"/>
    <s v="C02"/>
    <n v="10.8"/>
    <n v="31141.200000000001"/>
    <n v="3192.8"/>
    <n v="27948.400000000001"/>
    <s v="Local Market"/>
    <n v="6.85"/>
    <n v="8241.7900000000009"/>
    <n v="2883.4444444444443"/>
    <n v="0.10252655645896755"/>
    <n v="191446.54"/>
    <n v="183204.75"/>
    <s v="OK"/>
    <x v="2"/>
    <s v="Hohoe"/>
  </r>
  <r>
    <s v="F0147"/>
    <d v="2025-09-23T00:00:00"/>
    <s v="D03"/>
    <s v="C05"/>
    <n v="5.2"/>
    <n v="9882.5"/>
    <n v="1543.7"/>
    <n v="8338.7999999999993"/>
    <s v="Farm Gate"/>
    <n v="4.09"/>
    <n v="8210.2199999999993"/>
    <n v="1900.4807692307691"/>
    <n v="0.15620541360991652"/>
    <n v="34105.691999999995"/>
    <n v="25895.471999999994"/>
    <s v="OK"/>
    <x v="5"/>
    <s v="Tamale Metro"/>
  </r>
  <r>
    <s v="F0209"/>
    <d v="2025-07-04T00:00:00"/>
    <s v="D01"/>
    <s v="C02"/>
    <n v="9.6999999999999993"/>
    <n v="17620.599999999999"/>
    <n v="872.3"/>
    <n v="16748.3"/>
    <s v="Processor"/>
    <n v="4.9400000000000004"/>
    <n v="10026.44"/>
    <n v="1816.5567010309278"/>
    <n v="4.9504557166044294E-2"/>
    <n v="82736.601999999999"/>
    <n v="72710.161999999997"/>
    <s v="OK"/>
    <x v="2"/>
    <s v="Ejura"/>
  </r>
  <r>
    <s v="F0178"/>
    <d v="2025-10-23T00:00:00"/>
    <s v="D01"/>
    <s v="C06"/>
    <n v="14"/>
    <n v="71262.899999999994"/>
    <n v="11224.2"/>
    <n v="60038.7"/>
    <s v="Wholesaler"/>
    <n v="2.0699999999999998"/>
    <n v="9252.9599999999991"/>
    <n v="5090.2071428571426"/>
    <n v="0.1575041150444341"/>
    <n v="124280.10899999998"/>
    <n v="115027.14899999998"/>
    <s v="OK"/>
    <x v="4"/>
    <s v="Ejura"/>
  </r>
  <r>
    <s v="F0061"/>
    <d v="2026-01-18T00:00:00"/>
    <s v="D03"/>
    <s v="C02"/>
    <n v="12.6"/>
    <n v="35995.599999999999"/>
    <n v="4587.8"/>
    <n v="31407.8"/>
    <s v="Processor"/>
    <n v="6.68"/>
    <n v="10403.98"/>
    <n v="2856.7936507936506"/>
    <n v="0.12745446665703586"/>
    <n v="209804.10399999999"/>
    <n v="199400.12399999998"/>
    <s v="OK"/>
    <x v="2"/>
    <s v="Tamale Metro"/>
  </r>
  <r>
    <s v="F0074"/>
    <d v="2025-07-13T00:00:00"/>
    <s v="D04"/>
    <s v="C02"/>
    <n v="4.5999999999999996"/>
    <n v="7035.3"/>
    <n v="301.39999999999998"/>
    <n v="6733.9"/>
    <s v="Wholesaler"/>
    <n v="5.63"/>
    <n v="6113.12"/>
    <n v="1529.413043478261"/>
    <n v="4.2841101303426998E-2"/>
    <n v="37911.856999999996"/>
    <n v="31798.736999999997"/>
    <s v="OK"/>
    <x v="2"/>
    <s v="Kintampo"/>
  </r>
  <r>
    <s v="F0094"/>
    <d v="2026-01-17T00:00:00"/>
    <s v="D01"/>
    <s v="C03"/>
    <n v="13.3"/>
    <n v="77046.899999999994"/>
    <n v="8527"/>
    <n v="68519.899999999994"/>
    <s v="Local Market"/>
    <n v="6.79"/>
    <n v="21295.08"/>
    <n v="5792.9999999999991"/>
    <n v="0.11067284991349426"/>
    <n v="465250.12099999998"/>
    <n v="443955.04099999997"/>
    <s v="OK"/>
    <x v="1"/>
    <s v="Ejura"/>
  </r>
  <r>
    <s v="F0220"/>
    <d v="2026-03-21T00:00:00"/>
    <s v="D04"/>
    <s v="C04"/>
    <n v="2.7"/>
    <n v="11797.8"/>
    <n v="634.5"/>
    <n v="11163.3"/>
    <s v="Local Market"/>
    <n v="9.2200000000000006"/>
    <n v="3674.38"/>
    <n v="4369.5555555555547"/>
    <n v="5.3781213446574785E-2"/>
    <n v="102925.626"/>
    <n v="99251.245999999999"/>
    <s v="OK"/>
    <x v="3"/>
    <s v="Kintampo"/>
  </r>
  <r>
    <s v="F0203"/>
    <d v="2026-01-07T00:00:00"/>
    <s v="D02"/>
    <s v="C06"/>
    <n v="1.2"/>
    <n v="8191.2"/>
    <n v="247.1"/>
    <n v="7944.1"/>
    <s v="Local Market"/>
    <n v="2.78"/>
    <n v="783.76"/>
    <n v="6826"/>
    <n v="3.0166520167985156E-2"/>
    <n v="22084.597999999998"/>
    <n v="21300.838"/>
    <s v="OK"/>
    <x v="4"/>
    <s v="Techiman"/>
  </r>
  <r>
    <s v="F0026"/>
    <d v="2025-10-08T00:00:00"/>
    <s v="D02"/>
    <s v="C03"/>
    <n v="2.7"/>
    <n v="19793.3"/>
    <n v="2336"/>
    <n v="17457.3"/>
    <s v="Processor"/>
    <n v="5.93"/>
    <n v="3545.42"/>
    <n v="7330.8518518518513"/>
    <n v="0.11801973395037715"/>
    <n v="103521.78899999999"/>
    <n v="99976.368999999992"/>
    <s v="OK"/>
    <x v="1"/>
    <s v="Techiman"/>
  </r>
  <r>
    <s v="F0196"/>
    <d v="2026-06-10T00:00:00"/>
    <s v="D01"/>
    <s v="C02"/>
    <n v="6.4"/>
    <n v="12884.4"/>
    <n v="1398.4"/>
    <n v="11486"/>
    <s v="Farm Gate"/>
    <n v="6.47"/>
    <n v="10052.33"/>
    <n v="2013.1874999999998"/>
    <n v="0.10853435161901215"/>
    <n v="74314.42"/>
    <n v="64262.09"/>
    <s v="OK"/>
    <x v="2"/>
    <s v="Ejura"/>
  </r>
  <r>
    <s v="F0172"/>
    <d v="2026-01-14T00:00:00"/>
    <s v="D02"/>
    <s v="C06"/>
    <n v="1.8"/>
    <n v="11125.8"/>
    <n v="234"/>
    <n v="10891.8"/>
    <s v="Farm Gate"/>
    <n v="2.56"/>
    <n v="1599.19"/>
    <n v="6180.9999999999991"/>
    <n v="2.1032195437631452E-2"/>
    <n v="27883.007999999998"/>
    <n v="26283.817999999999"/>
    <s v="OK"/>
    <x v="4"/>
    <s v="Techiman"/>
  </r>
  <r>
    <s v="F0145"/>
    <d v="2026-04-05T00:00:00"/>
    <s v="D02"/>
    <s v="C03"/>
    <n v="13.5"/>
    <n v="102939.9"/>
    <n v="8834.1"/>
    <n v="94105.8"/>
    <s v="Wholesaler"/>
    <n v="6.79"/>
    <n v="21610.59"/>
    <n v="7625.177777777777"/>
    <n v="8.5818035572212528E-2"/>
    <n v="638978.38199999998"/>
    <n v="617367.79200000002"/>
    <s v="OK"/>
    <x v="1"/>
    <s v="Techiman"/>
  </r>
  <r>
    <s v="F0108"/>
    <d v="2026-01-07T00:00:00"/>
    <s v="D04"/>
    <s v="C02"/>
    <n v="9.8000000000000007"/>
    <n v="28970.7"/>
    <n v="2525.4"/>
    <n v="26445.3"/>
    <s v="Farm Gate"/>
    <n v="5.5"/>
    <n v="12132.66"/>
    <n v="2956.1938775510203"/>
    <n v="8.7170831219128289E-2"/>
    <n v="145449.15"/>
    <n v="133316.49"/>
    <s v="OK"/>
    <x v="2"/>
    <s v="Kintampo"/>
  </r>
  <r>
    <s v="F0101"/>
    <d v="2025-11-28T00:00:00"/>
    <s v="D01"/>
    <s v="C04"/>
    <n v="12.6"/>
    <n v="63440.4"/>
    <n v="6216.9"/>
    <n v="57223.5"/>
    <s v="Farm Gate"/>
    <n v="8.44"/>
    <n v="17211.47"/>
    <n v="5034.9523809523816"/>
    <n v="9.7995914275445919E-2"/>
    <n v="482966.33999999997"/>
    <n v="465754.87"/>
    <s v="OK"/>
    <x v="3"/>
    <s v="Ejura"/>
  </r>
  <r>
    <s v="F0046"/>
    <d v="2026-06-11T00:00:00"/>
    <s v="D02"/>
    <s v="C06"/>
    <n v="1.5"/>
    <n v="7830.6"/>
    <n v="990.7"/>
    <n v="6839.9"/>
    <s v="Wholesaler"/>
    <n v="2.06"/>
    <n v="1859.24"/>
    <n v="5220.4000000000005"/>
    <n v="0.12651648660383624"/>
    <n v="14090.194"/>
    <n v="12230.954"/>
    <s v="OK"/>
    <x v="4"/>
    <s v="Techiman"/>
  </r>
  <r>
    <s v="F0050"/>
    <d v="2026-06-27T00:00:00"/>
    <s v="D01"/>
    <s v="C06"/>
    <n v="7.8"/>
    <n v="55993.4"/>
    <n v="5829"/>
    <n v="50164.4"/>
    <s v="Local Market"/>
    <n v="2.74"/>
    <n v="10080.73"/>
    <n v="7178.6410256410263"/>
    <n v="0.1041015548261045"/>
    <n v="137450.45600000001"/>
    <n v="127369.72600000001"/>
    <s v="OK"/>
    <x v="4"/>
    <s v="Ejura"/>
  </r>
  <r>
    <s v="F0162"/>
    <d v="2025-10-28T00:00:00"/>
    <s v="D04"/>
    <s v="C02"/>
    <n v="10.9"/>
    <n v="24882.5"/>
    <n v="886.8"/>
    <n v="23995.7"/>
    <s v="Processor"/>
    <n v="5.67"/>
    <n v="7964.89"/>
    <n v="2282.7981651376144"/>
    <n v="3.5639505676680394E-2"/>
    <n v="136055.61900000001"/>
    <n v="128090.72900000001"/>
    <s v="OK"/>
    <x v="2"/>
    <s v="Kintampo"/>
  </r>
  <r>
    <s v="F0001"/>
    <d v="2025-09-18T00:00:00"/>
    <s v="D04"/>
    <s v="C04"/>
    <n v="5"/>
    <n v="25935.9"/>
    <n v="2155.6999999999998"/>
    <n v="23780.2"/>
    <s v="Local Market"/>
    <n v="8.17"/>
    <n v="8884.24"/>
    <n v="5187.18"/>
    <n v="8.3116452484779779E-2"/>
    <n v="194284.234"/>
    <n v="185399.99400000001"/>
    <s v="OK"/>
    <x v="3"/>
    <s v="Kintampo"/>
  </r>
  <r>
    <s v="F0020"/>
    <d v="2026-06-18T00:00:00"/>
    <s v="D02"/>
    <s v="C03"/>
    <n v="9.4"/>
    <n v="66513.100000000006"/>
    <n v="7149"/>
    <n v="59364.1"/>
    <s v="Local Market"/>
    <n v="5.56"/>
    <n v="10488.06"/>
    <n v="7075.8617021276596"/>
    <n v="0.10748258613716695"/>
    <n v="330064.39599999995"/>
    <n v="319576.33599999995"/>
    <s v="OK"/>
    <x v="1"/>
    <s v="Techiman"/>
  </r>
  <r>
    <s v="F0210"/>
    <d v="2025-10-28T00:00:00"/>
    <s v="D04"/>
    <s v="C06"/>
    <n v="2.8"/>
    <n v="20363.2"/>
    <n v="2676.1"/>
    <n v="17687.099999999999"/>
    <s v="Local Market"/>
    <n v="2.57"/>
    <n v="2244.67"/>
    <n v="7272.5714285714294"/>
    <n v="0.13141844110945233"/>
    <n v="45455.846999999994"/>
    <n v="43211.176999999996"/>
    <s v="OK"/>
    <x v="4"/>
    <s v="Kintampo"/>
  </r>
  <r>
    <s v="F0184"/>
    <d v="2025-12-08T00:00:00"/>
    <s v="D05"/>
    <s v="C03"/>
    <n v="3"/>
    <n v="19985.099999999999"/>
    <n v="1001.1"/>
    <n v="18984"/>
    <s v="Wholesaler"/>
    <n v="6.05"/>
    <n v="2620.13"/>
    <n v="6661.7"/>
    <n v="5.0092318777489236E-2"/>
    <n v="114853.2"/>
    <n v="112233.06999999999"/>
    <s v="OK"/>
    <x v="1"/>
    <s v="Hohoe"/>
  </r>
  <r>
    <s v="F0187"/>
    <d v="2025-12-07T00:00:00"/>
    <s v="D05"/>
    <s v="C02"/>
    <n v="12.3"/>
    <n v="24920.799999999999"/>
    <n v="1325"/>
    <n v="23595.8"/>
    <s v="Processor"/>
    <n v="5.79"/>
    <n v="19486.439999999999"/>
    <n v="2026.0813008130081"/>
    <n v="5.3168437610349589E-2"/>
    <n v="136619.682"/>
    <n v="117133.242"/>
    <s v="OK"/>
    <x v="2"/>
    <s v="Hohoe"/>
  </r>
  <r>
    <s v="F0045"/>
    <d v="2025-08-19T00:00:00"/>
    <s v="D04"/>
    <s v="C01"/>
    <n v="11.6"/>
    <n v="17844.3"/>
    <n v="918.2"/>
    <n v="16926.099999999999"/>
    <s v="Farm Gate"/>
    <n v="3.16"/>
    <n v="17245.96"/>
    <n v="1538.3017241379309"/>
    <n v="5.1456207304293254E-2"/>
    <n v="53486.475999999995"/>
    <n v="36240.515999999996"/>
    <s v="OK"/>
    <x v="0"/>
    <s v="Kintampo"/>
  </r>
  <r>
    <s v="F0111"/>
    <d v="2025-09-29T00:00:00"/>
    <s v="D05"/>
    <s v="C02"/>
    <n v="11.7"/>
    <n v="26211.200000000001"/>
    <n v="1751.4"/>
    <n v="24459.8"/>
    <s v="Local Market"/>
    <n v="6.89"/>
    <n v="16683.52"/>
    <n v="2240.2735042735044"/>
    <n v="6.6818764497619337E-2"/>
    <n v="168528.022"/>
    <n v="151844.50200000001"/>
    <s v="OK"/>
    <x v="2"/>
    <s v="Hohoe"/>
  </r>
  <r>
    <s v="F0178"/>
    <d v="2025-09-18T00:00:00"/>
    <s v="D03"/>
    <s v="C02"/>
    <n v="2.1"/>
    <n v="5259.6"/>
    <n v="649.79999999999995"/>
    <n v="4609.8"/>
    <s v="Local Market"/>
    <n v="5.87"/>
    <n v="3224.77"/>
    <n v="2504.5714285714284"/>
    <n v="0.12354551676933605"/>
    <n v="27059.526000000002"/>
    <n v="23834.756000000001"/>
    <s v="OK"/>
    <x v="2"/>
    <s v="Tamale Metro"/>
  </r>
  <r>
    <s v="F0161"/>
    <d v="2026-05-14T00:00:00"/>
    <s v="D05"/>
    <s v="C05"/>
    <n v="14.9"/>
    <n v="18025.5"/>
    <n v="1349"/>
    <n v="16676.5"/>
    <s v="Wholesaler"/>
    <n v="4.25"/>
    <n v="24411.69"/>
    <n v="1209.765100671141"/>
    <n v="7.4838423344706112E-2"/>
    <n v="70875.125"/>
    <n v="46463.434999999998"/>
    <s v="OK"/>
    <x v="5"/>
    <s v="Hohoe"/>
  </r>
  <r>
    <s v="F0181"/>
    <d v="2025-09-23T00:00:00"/>
    <s v="D01"/>
    <s v="C02"/>
    <n v="12.2"/>
    <n v="18530.3"/>
    <n v="2712.1"/>
    <n v="15818.2"/>
    <s v="Local Market"/>
    <n v="5.79"/>
    <n v="15070.96"/>
    <n v="1518.877049180328"/>
    <n v="0.14636028558630998"/>
    <n v="91587.378000000012"/>
    <n v="76516.418000000005"/>
    <s v="OK"/>
    <x v="2"/>
    <s v="Ejura"/>
  </r>
  <r>
    <s v="F0051"/>
    <d v="2025-08-21T00:00:00"/>
    <s v="D01"/>
    <s v="C06"/>
    <n v="7.2"/>
    <n v="39470"/>
    <n v="3061.9"/>
    <n v="36408.1"/>
    <s v="Wholesaler"/>
    <n v="2.4900000000000002"/>
    <n v="9606.83"/>
    <n v="5481.9444444444443"/>
    <n v="7.7575373701545478E-2"/>
    <n v="90656.169000000009"/>
    <n v="81049.339000000007"/>
    <s v="OK"/>
    <x v="4"/>
    <s v="Ejura"/>
  </r>
  <r>
    <s v="F0108"/>
    <d v="2026-06-13T00:00:00"/>
    <s v="D04"/>
    <s v="C05"/>
    <n v="14.7"/>
    <n v="19460.099999999999"/>
    <n v="2529.9"/>
    <n v="16930.2"/>
    <s v="Wholesaler"/>
    <n v="4.08"/>
    <n v="12811.28"/>
    <n v="1323.8163265306123"/>
    <n v="0.13000447068617327"/>
    <n v="69075.216"/>
    <n v="56263.936000000002"/>
    <s v="OK"/>
    <x v="5"/>
    <s v="Kintampo"/>
  </r>
  <r>
    <s v="F0172"/>
    <d v="2026-02-14T00:00:00"/>
    <s v="D03"/>
    <s v="C03"/>
    <n v="9.4"/>
    <n v="89969.600000000006"/>
    <n v="1858.4"/>
    <n v="88111.2"/>
    <s v="Local Market"/>
    <n v="7.61"/>
    <n v="14096.49"/>
    <n v="9571.2340425531911"/>
    <n v="2.065586598139816E-2"/>
    <n v="670526.23199999996"/>
    <n v="656429.74199999997"/>
    <s v="OK"/>
    <x v="1"/>
    <s v="Tamale Metro"/>
  </r>
  <r>
    <s v="F0073"/>
    <d v="2025-12-31T00:00:00"/>
    <s v="D05"/>
    <s v="C04"/>
    <n v="1.9"/>
    <n v="9411.2999999999993"/>
    <n v="979"/>
    <n v="8432.2999999999993"/>
    <s v="Local Market"/>
    <n v="9.02"/>
    <n v="2708.68"/>
    <n v="4953.3157894736842"/>
    <n v="0.10402388617938012"/>
    <n v="76059.34599999999"/>
    <n v="73350.665999999997"/>
    <s v="OK"/>
    <x v="3"/>
    <s v="Hohoe"/>
  </r>
  <r>
    <s v="F0012"/>
    <d v="2026-04-05T00:00:00"/>
    <s v="D05"/>
    <s v="C06"/>
    <n v="11.7"/>
    <n v="78360.600000000006"/>
    <n v="4858.5"/>
    <n v="73502.100000000006"/>
    <s v="Farm Gate"/>
    <n v="2.2400000000000002"/>
    <n v="12187.42"/>
    <n v="6697.4871794871806"/>
    <n v="6.2001822344392457E-2"/>
    <n v="164644.70400000003"/>
    <n v="152457.28400000001"/>
    <s v="OK"/>
    <x v="4"/>
    <s v="Hohoe"/>
  </r>
  <r>
    <s v="F0005"/>
    <d v="2025-12-21T00:00:00"/>
    <s v="D03"/>
    <s v="C06"/>
    <n v="6.5"/>
    <n v="43143.1"/>
    <n v="3225.2"/>
    <n v="39917.9"/>
    <s v="Local Market"/>
    <n v="2.87"/>
    <n v="4319.95"/>
    <n v="6637.4"/>
    <n v="7.4755870579536476E-2"/>
    <n v="114564.37300000001"/>
    <n v="110244.42300000001"/>
    <s v="OK"/>
    <x v="4"/>
    <s v="Tamale Metro"/>
  </r>
  <r>
    <s v="F0061"/>
    <d v="2026-04-19T00:00:00"/>
    <s v="D03"/>
    <s v="C05"/>
    <n v="10.8"/>
    <n v="20061.3"/>
    <n v="2025.8"/>
    <n v="18035.5"/>
    <s v="Farm Gate"/>
    <n v="4.92"/>
    <n v="18178.650000000001"/>
    <n v="1857.5277777777776"/>
    <n v="0.10098049478348861"/>
    <n v="88734.66"/>
    <n v="70556.010000000009"/>
    <s v="OK"/>
    <x v="5"/>
    <s v="Tamale Metro"/>
  </r>
  <r>
    <s v="F0170"/>
    <d v="2025-08-23T00:00:00"/>
    <s v="D04"/>
    <s v="C02"/>
    <n v="5.3"/>
    <n v="12616.6"/>
    <n v="282"/>
    <n v="12334.6"/>
    <s v="Farm Gate"/>
    <n v="5.16"/>
    <n v="7798.03"/>
    <n v="2380.4905660377358"/>
    <n v="2.2351505159868744E-2"/>
    <n v="63646.536"/>
    <n v="55848.506000000001"/>
    <s v="OK"/>
    <x v="2"/>
    <s v="Kintampo"/>
  </r>
  <r>
    <s v="F0092"/>
    <d v="2026-03-01T00:00:00"/>
    <s v="D05"/>
    <s v="C01"/>
    <n v="10.4"/>
    <n v="18689"/>
    <n v="2706.3"/>
    <n v="15982.7"/>
    <s v="Wholesaler"/>
    <n v="3.13"/>
    <n v="7863.65"/>
    <n v="1797.0192307692307"/>
    <n v="0.14480710578415112"/>
    <n v="50025.851000000002"/>
    <n v="42162.201000000001"/>
    <s v="OK"/>
    <x v="0"/>
    <s v="Hohoe"/>
  </r>
  <r>
    <s v="F0190"/>
    <d v="2025-11-08T00:00:00"/>
    <s v="D01"/>
    <s v="C01"/>
    <n v="8.8000000000000007"/>
    <n v="13590.8"/>
    <n v="665.5"/>
    <n v="12925.3"/>
    <s v="Processor"/>
    <n v="3.3"/>
    <n v="5881.56"/>
    <n v="1544.4090909090908"/>
    <n v="4.8966948229684788E-2"/>
    <n v="42653.49"/>
    <n v="36771.93"/>
    <s v="OK"/>
    <x v="0"/>
    <s v="Ejura"/>
  </r>
  <r>
    <s v="F0087"/>
    <d v="2026-04-04T00:00:00"/>
    <s v="D04"/>
    <s v="C05"/>
    <n v="10.9"/>
    <n v="11691.2"/>
    <n v="566.5"/>
    <n v="11124.7"/>
    <s v="Farm Gate"/>
    <n v="4.01"/>
    <n v="11700.89"/>
    <n v="1072.5871559633028"/>
    <n v="4.8455248391952921E-2"/>
    <n v="44610.046999999999"/>
    <n v="32909.156999999999"/>
    <s v="OK"/>
    <x v="5"/>
    <s v="Kintampo"/>
  </r>
  <r>
    <s v="F0063"/>
    <d v="2025-10-16T00:00:00"/>
    <s v="D04"/>
    <s v="C02"/>
    <n v="10.5"/>
    <n v="28542.5"/>
    <n v="4327.7"/>
    <n v="24214.799999999999"/>
    <s v="Processor"/>
    <n v="5.71"/>
    <n v="10444.41"/>
    <n v="2718.3333333333335"/>
    <n v="0.15162301830603486"/>
    <n v="138266.508"/>
    <n v="127822.098"/>
    <s v="OK"/>
    <x v="2"/>
    <s v="Kintampo"/>
  </r>
  <r>
    <s v="F0157"/>
    <d v="2025-09-27T00:00:00"/>
    <s v="D02"/>
    <s v="C01"/>
    <n v="4.5999999999999996"/>
    <n v="6060.3"/>
    <n v="696.8"/>
    <n v="5363.5"/>
    <s v="Farm Gate"/>
    <n v="3.13"/>
    <n v="3561.71"/>
    <n v="1317.4565217391305"/>
    <n v="0.11497780637922214"/>
    <n v="16787.755000000001"/>
    <n v="13226.045000000002"/>
    <s v="OK"/>
    <x v="0"/>
    <s v="Techiman"/>
  </r>
  <r>
    <s v="F0169"/>
    <d v="2026-02-07T00:00:00"/>
    <s v="D03"/>
    <s v="C05"/>
    <n v="14"/>
    <n v="16346.7"/>
    <n v="2583.1999999999998"/>
    <n v="13763.5"/>
    <s v="Wholesaler"/>
    <n v="4.2"/>
    <n v="21911.26"/>
    <n v="1167.6214285714286"/>
    <n v="0.1580257789033872"/>
    <n v="57806.700000000004"/>
    <n v="35895.440000000002"/>
    <s v="OK"/>
    <x v="5"/>
    <s v="Tamale Metro"/>
  </r>
  <r>
    <s v="F0165"/>
    <d v="2025-07-10T00:00:00"/>
    <s v="D03"/>
    <s v="C04"/>
    <n v="1.5"/>
    <n v="6788.4"/>
    <n v="939.3"/>
    <n v="5849.1"/>
    <s v="Wholesaler"/>
    <n v="10.3"/>
    <n v="1264.67"/>
    <n v="4525.5999999999995"/>
    <n v="0.13836839314124094"/>
    <n v="60245.73000000001"/>
    <n v="58981.060000000012"/>
    <s v="OK"/>
    <x v="3"/>
    <s v="Tamale Metro"/>
  </r>
  <r>
    <s v="F0147"/>
    <d v="2026-01-21T00:00:00"/>
    <s v="D05"/>
    <s v="C04"/>
    <n v="6.8"/>
    <n v="33157.800000000003"/>
    <n v="5086.5"/>
    <n v="28071.3"/>
    <s v="Processor"/>
    <n v="8"/>
    <n v="5944.43"/>
    <n v="4876.1470588235297"/>
    <n v="0.15340281924615021"/>
    <n v="224570.4"/>
    <n v="218625.97"/>
    <s v="OK"/>
    <x v="3"/>
    <s v="Hohoe"/>
  </r>
  <r>
    <s v="F0052"/>
    <d v="2025-11-25T00:00:00"/>
    <s v="D03"/>
    <s v="C01"/>
    <n v="9.1999999999999993"/>
    <n v="11549.1"/>
    <n v="1289.8"/>
    <n v="10259.299999999999"/>
    <s v="Local Market"/>
    <n v="3.6"/>
    <n v="6656.15"/>
    <n v="1255.3369565217392"/>
    <n v="0.11167969798512438"/>
    <n v="36933.479999999996"/>
    <n v="30277.329999999994"/>
    <s v="OK"/>
    <x v="0"/>
    <s v="Tamale Metro"/>
  </r>
  <r>
    <s v="F0193"/>
    <d v="2025-10-04T00:00:00"/>
    <s v="D05"/>
    <s v="C03"/>
    <n v="2.2999999999999998"/>
    <n v="17345.8"/>
    <n v="2523"/>
    <n v="14822.8"/>
    <s v="Processor"/>
    <n v="7.69"/>
    <n v="3671.48"/>
    <n v="7541.652173913044"/>
    <n v="0.14545307797853083"/>
    <n v="113987.33199999999"/>
    <n v="110315.852"/>
    <s v="OK"/>
    <x v="1"/>
    <s v="Hohoe"/>
  </r>
  <r>
    <s v="F0036"/>
    <d v="2025-08-01T00:00:00"/>
    <s v="D03"/>
    <s v="C01"/>
    <n v="2.6"/>
    <n v="3709.2"/>
    <n v="99.6"/>
    <n v="3609.6"/>
    <s v="Farm Gate"/>
    <n v="3.54"/>
    <n v="2197.7600000000002"/>
    <n v="1426.6153846153845"/>
    <n v="2.685215140731155E-2"/>
    <n v="12777.984"/>
    <n v="10580.224"/>
    <s v="OK"/>
    <x v="0"/>
    <s v="Tamale Metro"/>
  </r>
  <r>
    <s v="F0186"/>
    <d v="2025-09-27T00:00:00"/>
    <s v="D03"/>
    <s v="C01"/>
    <n v="2.2000000000000002"/>
    <n v="5240.3999999999996"/>
    <n v="782.4"/>
    <n v="4458"/>
    <s v="Processor"/>
    <n v="3.57"/>
    <n v="1939.34"/>
    <n v="2381.9999999999995"/>
    <n v="0.14930158003205862"/>
    <n v="15915.06"/>
    <n v="13975.72"/>
    <s v="OK"/>
    <x v="0"/>
    <s v="Tamale Metro"/>
  </r>
  <r>
    <s v="F0064"/>
    <d v="2025-08-03T00:00:00"/>
    <s v="D03"/>
    <s v="C06"/>
    <n v="13.9"/>
    <n v="60902.3"/>
    <n v="6634"/>
    <n v="54268.3"/>
    <s v="Processor"/>
    <n v="2.2599999999999998"/>
    <n v="9377.76"/>
    <n v="4381.4604316546765"/>
    <n v="0.10892856263228154"/>
    <n v="122646.35799999999"/>
    <n v="113268.598"/>
    <s v="OK"/>
    <x v="4"/>
    <s v="Tamale Metro"/>
  </r>
  <r>
    <s v="F0155"/>
    <d v="2026-04-06T00:00:00"/>
    <s v="D05"/>
    <s v="C06"/>
    <n v="4.5999999999999996"/>
    <n v="23169.599999999999"/>
    <n v="1960"/>
    <n v="21209.599999999999"/>
    <s v="Wholesaler"/>
    <n v="2.2999999999999998"/>
    <n v="3628.77"/>
    <n v="5036.869565217391"/>
    <n v="8.4593605413990747E-2"/>
    <n v="48782.079999999994"/>
    <n v="45153.31"/>
    <s v="OK"/>
    <x v="4"/>
    <s v="Hohoe"/>
  </r>
  <r>
    <s v="F0093"/>
    <d v="2026-04-18T00:00:00"/>
    <s v="D05"/>
    <s v="C03"/>
    <n v="14.8"/>
    <n v="139776.70000000001"/>
    <n v="7447.3"/>
    <n v="132329.4"/>
    <s v="Wholesaler"/>
    <n v="7.03"/>
    <n v="20801.72"/>
    <n v="9444.3716216216217"/>
    <n v="5.3279981570605109E-2"/>
    <n v="930275.68200000003"/>
    <n v="909473.96200000006"/>
    <s v="OK"/>
    <x v="1"/>
    <s v="Hohoe"/>
  </r>
  <r>
    <s v="F0093"/>
    <d v="2026-01-18T00:00:00"/>
    <s v="D04"/>
    <s v="C02"/>
    <n v="7.7"/>
    <n v="21879.599999999999"/>
    <n v="1850.5"/>
    <n v="20029.099999999999"/>
    <s v="Farm Gate"/>
    <n v="6.04"/>
    <n v="13027.43"/>
    <n v="2841.5064935064934"/>
    <n v="8.4576500484469561E-2"/>
    <n v="120975.764"/>
    <n v="107948.334"/>
    <s v="OK"/>
    <x v="2"/>
    <s v="Kintampo"/>
  </r>
  <r>
    <s v="F0200"/>
    <d v="2026-06-14T00:00:00"/>
    <s v="D01"/>
    <s v="C06"/>
    <n v="13.4"/>
    <n v="107241.2"/>
    <n v="6516.6"/>
    <n v="100724.6"/>
    <s v="Farm Gate"/>
    <n v="2.29"/>
    <n v="23779.759999999998"/>
    <n v="8003.0746268656712"/>
    <n v="6.076582507469145E-2"/>
    <n v="230659.334"/>
    <n v="206879.57399999999"/>
    <s v="OK"/>
    <x v="4"/>
    <s v="Ejura"/>
  </r>
  <r>
    <s v="F0019"/>
    <d v="2025-07-18T00:00:00"/>
    <s v="D03"/>
    <s v="C03"/>
    <n v="11.5"/>
    <n v="85031.7"/>
    <n v="4214.2"/>
    <n v="80817.5"/>
    <s v="Farm Gate"/>
    <n v="5.73"/>
    <n v="16161.1"/>
    <n v="7394.0608695652172"/>
    <n v="4.9560340437742628E-2"/>
    <n v="463084.27500000002"/>
    <n v="446923.17500000005"/>
    <s v="OK"/>
    <x v="1"/>
    <s v="Tamale Metro"/>
  </r>
  <r>
    <s v="F0070"/>
    <d v="2026-03-22T00:00:00"/>
    <s v="D05"/>
    <s v="C03"/>
    <n v="3.9"/>
    <n v="37674.1"/>
    <n v="5118.8"/>
    <n v="32555.3"/>
    <s v="Local Market"/>
    <n v="7.77"/>
    <n v="5793.22"/>
    <n v="9660.0256410256407"/>
    <n v="0.13587053174462033"/>
    <n v="252954.68099999998"/>
    <n v="247161.46099999998"/>
    <s v="OK"/>
    <x v="1"/>
    <s v="Hohoe"/>
  </r>
  <r>
    <s v="F0200"/>
    <d v="2026-05-09T00:00:00"/>
    <s v="D01"/>
    <s v="C06"/>
    <n v="2.6"/>
    <n v="18200.400000000001"/>
    <n v="686.5"/>
    <n v="17513.900000000001"/>
    <s v="Wholesaler"/>
    <n v="2.31"/>
    <n v="4370.71"/>
    <n v="7000.1538461538466"/>
    <n v="3.7718951231841054E-2"/>
    <n v="40457.109000000004"/>
    <n v="36086.399000000005"/>
    <s v="OK"/>
    <x v="4"/>
    <s v="Ejura"/>
  </r>
  <r>
    <s v="F0088"/>
    <d v="2026-05-12T00:00:00"/>
    <s v="D03"/>
    <s v="C04"/>
    <n v="1.8"/>
    <n v="9212.2000000000007"/>
    <n v="295.10000000000002"/>
    <n v="8917.1"/>
    <s v="Farm Gate"/>
    <n v="8.36"/>
    <n v="2707.91"/>
    <n v="5117.8888888888896"/>
    <n v="3.2033607607303359E-2"/>
    <n v="74546.955999999991"/>
    <n v="71839.045999999988"/>
    <s v="OK"/>
    <x v="3"/>
    <s v="Tamale Metro"/>
  </r>
  <r>
    <s v="F0142"/>
    <d v="2026-07-01T00:00:00"/>
    <s v="D03"/>
    <s v="C02"/>
    <n v="2.5"/>
    <n v="5470"/>
    <n v="551.6"/>
    <n v="4918.3999999999996"/>
    <s v="Processor"/>
    <n v="5.65"/>
    <n v="3434.21"/>
    <n v="2188"/>
    <n v="0.10084095063985375"/>
    <n v="27788.959999999999"/>
    <n v="24354.75"/>
    <s v="OK"/>
    <x v="2"/>
    <s v="Tamale Metro"/>
  </r>
  <r>
    <s v="F0219"/>
    <d v="2025-08-04T00:00:00"/>
    <s v="D04"/>
    <s v="C04"/>
    <n v="10.3"/>
    <n v="45761.8"/>
    <n v="5389.7"/>
    <n v="40372.1"/>
    <s v="Wholesaler"/>
    <n v="10.69"/>
    <n v="13176"/>
    <n v="4442.8932038834955"/>
    <n v="0.11777727274713844"/>
    <n v="431577.74899999995"/>
    <n v="418401.74899999995"/>
    <s v="OK"/>
    <x v="3"/>
    <s v="Kintampo"/>
  </r>
  <r>
    <s v="F0066"/>
    <d v="2026-03-27T00:00:00"/>
    <s v="D02"/>
    <s v="C03"/>
    <n v="9.6999999999999993"/>
    <n v="56178.400000000001"/>
    <n v="5574.2"/>
    <n v="50604.2"/>
    <s v="Processor"/>
    <n v="5.8"/>
    <n v="15095.59"/>
    <n v="5791.5876288659802"/>
    <n v="9.9223188983666319E-2"/>
    <n v="293504.36"/>
    <n v="278408.76999999996"/>
    <s v="OK"/>
    <x v="1"/>
    <s v="Techiman"/>
  </r>
  <r>
    <s v="F0147"/>
    <d v="2025-12-22T00:00:00"/>
    <s v="D01"/>
    <s v="C03"/>
    <n v="14"/>
    <n v="84366"/>
    <n v="9444.2000000000007"/>
    <n v="74921.8"/>
    <s v="Processor"/>
    <n v="6.11"/>
    <n v="20342.13"/>
    <n v="6026.1428571428569"/>
    <n v="0.1119431998672451"/>
    <n v="457772.19800000003"/>
    <n v="437430.06800000003"/>
    <s v="OK"/>
    <x v="1"/>
    <s v="Ejura"/>
  </r>
  <r>
    <s v="F0042"/>
    <d v="2025-10-18T00:00:00"/>
    <s v="D03"/>
    <s v="C02"/>
    <n v="14"/>
    <n v="39136.1"/>
    <n v="3149.9"/>
    <n v="35986.199999999997"/>
    <s v="Wholesaler"/>
    <n v="6.67"/>
    <n v="13969.14"/>
    <n v="2795.4357142857143"/>
    <n v="8.0485791890351877E-2"/>
    <n v="240027.95399999997"/>
    <n v="226058.81399999995"/>
    <s v="OK"/>
    <x v="2"/>
    <s v="Tamale Metro"/>
  </r>
  <r>
    <s v="F0215"/>
    <d v="2025-07-29T00:00:00"/>
    <s v="D05"/>
    <s v="C03"/>
    <n v="9.5"/>
    <n v="52020.2"/>
    <n v="3904.6"/>
    <n v="48115.6"/>
    <s v="Local Market"/>
    <n v="6.41"/>
    <n v="10286.07"/>
    <n v="5475.8105263157895"/>
    <n v="7.5059303885798206E-2"/>
    <n v="308420.99599999998"/>
    <n v="298134.92599999998"/>
    <s v="OK"/>
    <x v="1"/>
    <s v="Hohoe"/>
  </r>
  <r>
    <s v="F0078"/>
    <d v="2026-04-25T00:00:00"/>
    <s v="D05"/>
    <s v="C04"/>
    <n v="2.8"/>
    <n v="12294.5"/>
    <n v="1798.7"/>
    <n v="10495.8"/>
    <s v="Local Market"/>
    <n v="8.94"/>
    <n v="2861.38"/>
    <n v="4390.8928571428578"/>
    <n v="0.14630119158973526"/>
    <n v="93832.45199999999"/>
    <n v="90971.071999999986"/>
    <s v="OK"/>
    <x v="3"/>
    <s v="Hohoe"/>
  </r>
  <r>
    <s v="F0015"/>
    <d v="2026-03-13T00:00:00"/>
    <s v="D05"/>
    <s v="C02"/>
    <n v="5.3"/>
    <n v="12546.2"/>
    <n v="736.1"/>
    <n v="11810.1"/>
    <s v="Farm Gate"/>
    <n v="6.27"/>
    <n v="4841.7700000000004"/>
    <n v="2367.2075471698117"/>
    <n v="5.8671151424335655E-2"/>
    <n v="74049.32699999999"/>
    <n v="69207.556999999986"/>
    <s v="OK"/>
    <x v="2"/>
    <s v="Hohoe"/>
  </r>
  <r>
    <s v="F0106"/>
    <d v="2026-05-01T00:00:00"/>
    <s v="D03"/>
    <s v="C03"/>
    <n v="12.3"/>
    <n v="96242.9"/>
    <n v="11240"/>
    <n v="85002.9"/>
    <s v="Farm Gate"/>
    <n v="7.46"/>
    <n v="21472.43"/>
    <n v="7824.626016260162"/>
    <n v="0.11678783577801584"/>
    <n v="634121.63399999996"/>
    <n v="612649.20399999991"/>
    <s v="OK"/>
    <x v="1"/>
    <s v="Tamale Metro"/>
  </r>
  <r>
    <s v="F0095"/>
    <d v="2025-07-01T00:00:00"/>
    <s v="D04"/>
    <s v="C02"/>
    <n v="9.4"/>
    <n v="21185.9"/>
    <n v="849.7"/>
    <n v="20336.2"/>
    <s v="Farm Gate"/>
    <n v="6.83"/>
    <n v="12329.66"/>
    <n v="2253.8191489361702"/>
    <n v="4.0106863527157213E-2"/>
    <n v="138896.24600000001"/>
    <n v="126566.58600000001"/>
    <s v="OK"/>
    <x v="2"/>
    <s v="Kintampo"/>
  </r>
  <r>
    <s v="F0094"/>
    <d v="2026-03-08T00:00:00"/>
    <s v="D05"/>
    <s v="C04"/>
    <n v="7.5"/>
    <n v="46005"/>
    <n v="5564.4"/>
    <n v="40440.6"/>
    <s v="Wholesaler"/>
    <n v="9.27"/>
    <n v="13463.47"/>
    <n v="6134"/>
    <n v="0.12095207042712748"/>
    <n v="374884.36199999996"/>
    <n v="361420.89199999999"/>
    <s v="OK"/>
    <x v="3"/>
    <s v="Hohoe"/>
  </r>
  <r>
    <s v="F0089"/>
    <d v="2026-05-25T00:00:00"/>
    <s v="D02"/>
    <s v="C03"/>
    <n v="10.3"/>
    <n v="84021.9"/>
    <n v="3521.8"/>
    <n v="80500.100000000006"/>
    <s v="Processor"/>
    <n v="5.58"/>
    <n v="15870.77"/>
    <n v="8157.4660194174749"/>
    <n v="4.1915262568449421E-2"/>
    <n v="449190.55800000002"/>
    <n v="433319.788"/>
    <s v="OK"/>
    <x v="1"/>
    <s v="Techiman"/>
  </r>
  <r>
    <s v="F0024"/>
    <d v="2026-06-11T00:00:00"/>
    <s v="D04"/>
    <s v="C03"/>
    <n v="8"/>
    <n v="69553.600000000006"/>
    <n v="2974.6"/>
    <n v="66579"/>
    <s v="Wholesaler"/>
    <n v="7.55"/>
    <n v="14106.04"/>
    <n v="8694.2000000000007"/>
    <n v="4.2767017091854334E-2"/>
    <n v="502671.45"/>
    <n v="488565.41000000003"/>
    <s v="OK"/>
    <x v="1"/>
    <s v="Kintampo"/>
  </r>
  <r>
    <s v="F0026"/>
    <d v="2025-10-19T00:00:00"/>
    <s v="D05"/>
    <s v="C01"/>
    <n v="1.8"/>
    <n v="3089.1"/>
    <n v="378.6"/>
    <n v="2710.5"/>
    <s v="Local Market"/>
    <n v="3.24"/>
    <n v="1527.31"/>
    <n v="1716.1666666666665"/>
    <n v="0.12255996892298729"/>
    <n v="8782.02"/>
    <n v="7254.7100000000009"/>
    <s v="OK"/>
    <x v="0"/>
    <s v="Hohoe"/>
  </r>
  <r>
    <s v="F0048"/>
    <d v="2025-10-16T00:00:00"/>
    <s v="D05"/>
    <s v="C01"/>
    <n v="3.5"/>
    <n v="5310.3"/>
    <n v="813.2"/>
    <n v="4497.1000000000004"/>
    <s v="Wholesaler"/>
    <n v="2.92"/>
    <n v="5904.06"/>
    <n v="1517.2285714285715"/>
    <n v="0.15313635764457753"/>
    <n v="13131.532000000001"/>
    <n v="7227.4720000000007"/>
    <s v="OK"/>
    <x v="0"/>
    <s v="Hohoe"/>
  </r>
  <r>
    <s v="F0071"/>
    <d v="2025-12-15T00:00:00"/>
    <s v="D02"/>
    <s v="C02"/>
    <n v="14.1"/>
    <n v="31234.400000000001"/>
    <n v="3098.3"/>
    <n v="28136.1"/>
    <s v="Processor"/>
    <n v="6.7"/>
    <n v="15391.94"/>
    <n v="2215.2056737588655"/>
    <n v="9.9195118203006943E-2"/>
    <n v="188511.87"/>
    <n v="173119.93"/>
    <s v="OK"/>
    <x v="2"/>
    <s v="Techiman"/>
  </r>
  <r>
    <s v="F0028"/>
    <d v="2026-02-05T00:00:00"/>
    <s v="D03"/>
    <s v="C01"/>
    <n v="2.1"/>
    <n v="3030.5"/>
    <n v="126.6"/>
    <n v="2903.9"/>
    <s v="Local Market"/>
    <n v="3.06"/>
    <n v="1895.22"/>
    <n v="1443.0952380952381"/>
    <n v="4.1775284606500575E-2"/>
    <n v="8885.9340000000011"/>
    <n v="6990.7140000000009"/>
    <s v="OK"/>
    <x v="0"/>
    <s v="Tamale Metro"/>
  </r>
  <r>
    <s v="F0078"/>
    <d v="2025-11-27T00:00:00"/>
    <s v="D05"/>
    <s v="C02"/>
    <n v="1.1000000000000001"/>
    <n v="3084.2"/>
    <n v="327.7"/>
    <n v="2756.5"/>
    <s v="Farm Gate"/>
    <n v="5.26"/>
    <n v="1180.44"/>
    <n v="2803.8181818181815"/>
    <n v="0.10625121587445691"/>
    <n v="14499.189999999999"/>
    <n v="13318.749999999998"/>
    <s v="OK"/>
    <x v="2"/>
    <s v="Hohoe"/>
  </r>
  <r>
    <s v="F0025"/>
    <d v="2026-04-18T00:00:00"/>
    <s v="D05"/>
    <s v="C01"/>
    <n v="11.6"/>
    <n v="25344.9"/>
    <n v="3132.6"/>
    <n v="22212.3"/>
    <s v="Farm Gate"/>
    <n v="3.49"/>
    <n v="13989.22"/>
    <n v="2184.9051724137935"/>
    <n v="0.12359883053395357"/>
    <n v="77520.926999999996"/>
    <n v="63531.706999999995"/>
    <s v="OK"/>
    <x v="0"/>
    <s v="Hohoe"/>
  </r>
  <r>
    <s v="F0173"/>
    <d v="2026-02-05T00:00:00"/>
    <s v="D04"/>
    <s v="C02"/>
    <n v="9.3000000000000007"/>
    <n v="25891.7"/>
    <n v="1177.2"/>
    <n v="24714.5"/>
    <s v="Farm Gate"/>
    <n v="6.83"/>
    <n v="7426.56"/>
    <n v="2784.0537634408602"/>
    <n v="4.5466307735683636E-2"/>
    <n v="168800.035"/>
    <n v="161373.47500000001"/>
    <s v="OK"/>
    <x v="2"/>
    <s v="Kintampo"/>
  </r>
  <r>
    <s v="F0214"/>
    <d v="2026-03-11T00:00:00"/>
    <s v="D03"/>
    <s v="C02"/>
    <n v="4.9000000000000004"/>
    <n v="7898.6"/>
    <n v="516.20000000000005"/>
    <n v="7382.4"/>
    <s v="Processor"/>
    <n v="6.04"/>
    <n v="8572.0499999999993"/>
    <n v="1611.9591836734694"/>
    <n v="6.5353353758893978E-2"/>
    <n v="44589.695999999996"/>
    <n v="36017.645999999993"/>
    <s v="OK"/>
    <x v="2"/>
    <s v="Tamale Metro"/>
  </r>
  <r>
    <s v="F0200"/>
    <d v="2026-04-08T00:00:00"/>
    <s v="D03"/>
    <s v="C05"/>
    <n v="5.7"/>
    <n v="10477.4"/>
    <n v="567.9"/>
    <n v="9909.5"/>
    <s v="Local Market"/>
    <n v="4.45"/>
    <n v="8030.66"/>
    <n v="1838.1403508771928"/>
    <n v="5.4202378452669557E-2"/>
    <n v="44097.275000000001"/>
    <n v="36066.615000000005"/>
    <s v="OK"/>
    <x v="5"/>
    <s v="Tamale Metro"/>
  </r>
  <r>
    <s v="F0088"/>
    <d v="2026-04-16T00:00:00"/>
    <s v="D04"/>
    <s v="C04"/>
    <n v="7.4"/>
    <n v="27282.5"/>
    <n v="3348.9"/>
    <n v="23933.599999999999"/>
    <s v="Wholesaler"/>
    <n v="8.5299999999999994"/>
    <n v="12478.36"/>
    <n v="3686.8243243243242"/>
    <n v="0.12274901493631449"/>
    <n v="204153.60799999998"/>
    <n v="191675.24799999996"/>
    <s v="OK"/>
    <x v="3"/>
    <s v="Kintampo"/>
  </r>
  <r>
    <s v="F0201"/>
    <d v="2025-10-07T00:00:00"/>
    <s v="D03"/>
    <s v="C01"/>
    <n v="14.3"/>
    <n v="19558"/>
    <n v="1610"/>
    <n v="17948"/>
    <s v="Farm Gate"/>
    <n v="3.03"/>
    <n v="13126.97"/>
    <n v="1367.6923076923076"/>
    <n v="8.2319255547601999E-2"/>
    <n v="54382.439999999995"/>
    <n v="41255.469999999994"/>
    <s v="OK"/>
    <x v="0"/>
    <s v="Tamale Metro"/>
  </r>
  <r>
    <s v="F0126"/>
    <d v="2025-12-23T00:00:00"/>
    <s v="D05"/>
    <s v="C06"/>
    <n v="10.4"/>
    <n v="41023.199999999997"/>
    <n v="1175"/>
    <n v="39848.199999999997"/>
    <s v="Wholesaler"/>
    <n v="2.4"/>
    <n v="15083.17"/>
    <n v="3944.538461538461"/>
    <n v="2.8642329218588509E-2"/>
    <n v="95635.68"/>
    <n v="80552.509999999995"/>
    <s v="OK"/>
    <x v="4"/>
    <s v="Hohoe"/>
  </r>
  <r>
    <s v="F0062"/>
    <d v="2025-11-23T00:00:00"/>
    <s v="D04"/>
    <s v="C01"/>
    <n v="2.1"/>
    <n v="3255"/>
    <n v="188.8"/>
    <n v="3066.2"/>
    <s v="Local Market"/>
    <n v="3.35"/>
    <n v="1871.14"/>
    <n v="1550"/>
    <n v="5.8003072196620591E-2"/>
    <n v="10271.77"/>
    <n v="8400.630000000001"/>
    <s v="OK"/>
    <x v="0"/>
    <s v="Kintampo"/>
  </r>
  <r>
    <s v="F0193"/>
    <d v="2025-08-05T00:00:00"/>
    <s v="D01"/>
    <s v="C04"/>
    <n v="4.9000000000000004"/>
    <n v="18116.900000000001"/>
    <n v="1946.5"/>
    <n v="16170.4"/>
    <s v="Farm Gate"/>
    <n v="7.79"/>
    <n v="5316.06"/>
    <n v="3697.3265306122448"/>
    <n v="0.10744111851365298"/>
    <n v="125967.416"/>
    <n v="120651.356"/>
    <s v="OK"/>
    <x v="3"/>
    <s v="Ejura"/>
  </r>
  <r>
    <s v="F0195"/>
    <d v="2026-06-11T00:00:00"/>
    <s v="D04"/>
    <s v="C04"/>
    <n v="7.7"/>
    <n v="48419.9"/>
    <n v="3217.3"/>
    <n v="45202.6"/>
    <s v="Local Market"/>
    <n v="10.039999999999999"/>
    <n v="10588.52"/>
    <n v="6288.2987012987014"/>
    <n v="6.6445820829865415E-2"/>
    <n v="453834.10399999993"/>
    <n v="443245.58399999992"/>
    <s v="OK"/>
    <x v="3"/>
    <s v="Kintampo"/>
  </r>
  <r>
    <s v="F0141"/>
    <d v="2026-03-22T00:00:00"/>
    <s v="D02"/>
    <s v="C04"/>
    <n v="1.7"/>
    <n v="8527.7999999999993"/>
    <n v="179.8"/>
    <n v="8348"/>
    <s v="Wholesaler"/>
    <n v="9.31"/>
    <n v="2684.47"/>
    <n v="5016.3529411764703"/>
    <n v="2.1083984145969657E-2"/>
    <n v="77719.88"/>
    <n v="75035.41"/>
    <s v="OK"/>
    <x v="3"/>
    <s v="Techiman"/>
  </r>
  <r>
    <s v="F0113"/>
    <d v="2025-10-16T00:00:00"/>
    <s v="D01"/>
    <s v="C05"/>
    <n v="3.1"/>
    <n v="4736.2"/>
    <n v="342.1"/>
    <n v="4394.1000000000004"/>
    <s v="Wholesaler"/>
    <n v="3.95"/>
    <n v="5326.2"/>
    <n v="1527.8064516129032"/>
    <n v="7.2230902411215755E-2"/>
    <n v="17356.695000000003"/>
    <n v="12030.495000000003"/>
    <s v="OK"/>
    <x v="5"/>
    <s v="Ejura"/>
  </r>
  <r>
    <s v="F0113"/>
    <d v="2025-11-21T00:00:00"/>
    <s v="D03"/>
    <s v="C06"/>
    <n v="2.9"/>
    <n v="21033.599999999999"/>
    <n v="2745.1"/>
    <n v="18288.5"/>
    <s v="Local Market"/>
    <n v="2.13"/>
    <n v="2265.12"/>
    <n v="7252.9655172413786"/>
    <n v="0.13051023124904915"/>
    <n v="38954.504999999997"/>
    <n v="36689.384999999995"/>
    <s v="OK"/>
    <x v="4"/>
    <s v="Tamale Metro"/>
  </r>
  <r>
    <s v="F0118"/>
    <d v="2026-03-11T00:00:00"/>
    <s v="D02"/>
    <s v="C03"/>
    <n v="8.6"/>
    <n v="69963.7"/>
    <n v="7839.1"/>
    <n v="62124.6"/>
    <s v="Wholesaler"/>
    <n v="7.19"/>
    <n v="7446.51"/>
    <n v="8135.3139534883721"/>
    <n v="0.11204524632059197"/>
    <n v="446675.87400000001"/>
    <n v="439229.364"/>
    <s v="OK"/>
    <x v="1"/>
    <s v="Techiman"/>
  </r>
  <r>
    <s v="F0193"/>
    <d v="2026-05-15T00:00:00"/>
    <s v="D02"/>
    <s v="C05"/>
    <n v="5.7"/>
    <n v="7673.8"/>
    <n v="975.6"/>
    <n v="6698.2"/>
    <s v="Local Market"/>
    <n v="5.35"/>
    <n v="9662.99"/>
    <n v="1346.280701754386"/>
    <n v="0.12713388412520524"/>
    <n v="35835.369999999995"/>
    <n v="26172.379999999997"/>
    <s v="OK"/>
    <x v="5"/>
    <s v="Techiman"/>
  </r>
  <r>
    <s v="F0105"/>
    <d v="2025-11-02T00:00:00"/>
    <s v="D02"/>
    <s v="C05"/>
    <n v="2.9"/>
    <n v="3268.7"/>
    <n v="228"/>
    <n v="3040.7"/>
    <s v="Farm Gate"/>
    <n v="5.08"/>
    <n v="2809.01"/>
    <n v="1127.1379310344828"/>
    <n v="6.9752500994279071E-2"/>
    <n v="15446.755999999999"/>
    <n v="12637.745999999999"/>
    <s v="OK"/>
    <x v="5"/>
    <s v="Techiman"/>
  </r>
  <r>
    <s v="F0110"/>
    <d v="2025-07-10T00:00:00"/>
    <s v="D02"/>
    <s v="C01"/>
    <n v="3.4"/>
    <n v="7143.5"/>
    <n v="573.6"/>
    <n v="6569.9"/>
    <s v="Farm Gate"/>
    <n v="2.88"/>
    <n v="3118.84"/>
    <n v="2101.0294117647059"/>
    <n v="8.0296773290403869E-2"/>
    <n v="18921.311999999998"/>
    <n v="15802.471999999998"/>
    <s v="OK"/>
    <x v="0"/>
    <s v="Techiman"/>
  </r>
  <r>
    <s v="F0137"/>
    <d v="2025-12-20T00:00:00"/>
    <s v="D05"/>
    <s v="C06"/>
    <n v="5"/>
    <n v="31703"/>
    <n v="2736"/>
    <n v="28967"/>
    <s v="Local Market"/>
    <n v="2.1"/>
    <n v="5359.51"/>
    <n v="6340.6"/>
    <n v="8.6300980979718014E-2"/>
    <n v="60830.700000000004"/>
    <n v="55471.19"/>
    <s v="OK"/>
    <x v="4"/>
    <s v="Hohoe"/>
  </r>
  <r>
    <s v="F0057"/>
    <d v="2026-03-01T00:00:00"/>
    <s v="D05"/>
    <s v="C06"/>
    <n v="11.1"/>
    <n v="84016"/>
    <n v="2747.9"/>
    <n v="81268.100000000006"/>
    <s v="Farm Gate"/>
    <n v="2.2599999999999998"/>
    <n v="10600.16"/>
    <n v="7569.0090090090089"/>
    <n v="3.2706865358979244E-2"/>
    <n v="183665.90599999999"/>
    <n v="173065.74599999998"/>
    <s v="OK"/>
    <x v="4"/>
    <s v="Hohoe"/>
  </r>
  <r>
    <s v="F0121"/>
    <d v="2025-10-09T00:00:00"/>
    <s v="D03"/>
    <s v="C04"/>
    <n v="11.6"/>
    <n v="53243.7"/>
    <n v="4997.2"/>
    <n v="48246.5"/>
    <s v="Farm Gate"/>
    <n v="9.01"/>
    <n v="14410.08"/>
    <n v="4589.9741379310344"/>
    <n v="9.3855235455086714E-2"/>
    <n v="434700.96499999997"/>
    <n v="420290.88499999995"/>
    <s v="OK"/>
    <x v="3"/>
    <s v="Tamale Metro"/>
  </r>
  <r>
    <s v="F0006"/>
    <d v="2025-07-03T00:00:00"/>
    <s v="D03"/>
    <s v="C03"/>
    <n v="14.4"/>
    <n v="141664.70000000001"/>
    <n v="4297.8999999999996"/>
    <n v="137366.79999999999"/>
    <s v="Local Market"/>
    <n v="7.5"/>
    <n v="20636.509999999998"/>
    <n v="9837.8263888888887"/>
    <n v="3.0338538817362402E-2"/>
    <n v="1030250.9999999999"/>
    <n v="1009614.4899999999"/>
    <s v="OK"/>
    <x v="1"/>
    <s v="Tamale Metro"/>
  </r>
  <r>
    <s v="F0036"/>
    <d v="2026-04-18T00:00:00"/>
    <s v="D03"/>
    <s v="C05"/>
    <n v="12.5"/>
    <n v="19498.099999999999"/>
    <n v="2533.3000000000002"/>
    <n v="16964.8"/>
    <s v="Wholesaler"/>
    <n v="4.9800000000000004"/>
    <n v="20278.990000000002"/>
    <n v="1559.848"/>
    <n v="0.12992547991855619"/>
    <n v="84484.703999999998"/>
    <n v="64205.713999999993"/>
    <s v="OK"/>
    <x v="5"/>
    <s v="Tamale Metro"/>
  </r>
  <r>
    <s v="F0180"/>
    <d v="2026-05-09T00:00:00"/>
    <s v="D04"/>
    <s v="C02"/>
    <n v="13.1"/>
    <n v="27137.9"/>
    <n v="1949.7"/>
    <n v="25188.2"/>
    <s v="Local Market"/>
    <n v="6.86"/>
    <n v="16478.04"/>
    <n v="2071.5954198473282"/>
    <n v="7.1844173646450168E-2"/>
    <n v="172791.05200000003"/>
    <n v="156313.01200000002"/>
    <s v="OK"/>
    <x v="2"/>
    <s v="Kintampo"/>
  </r>
  <r>
    <s v="F0028"/>
    <d v="2025-11-24T00:00:00"/>
    <s v="D04"/>
    <s v="C01"/>
    <n v="11.3"/>
    <n v="14597"/>
    <n v="1553.1"/>
    <n v="13043.9"/>
    <s v="Processor"/>
    <n v="3.77"/>
    <n v="10638.08"/>
    <n v="1291.7699115044247"/>
    <n v="0.10639857504966774"/>
    <n v="49175.502999999997"/>
    <n v="38537.422999999995"/>
    <s v="OK"/>
    <x v="0"/>
    <s v="Kintampo"/>
  </r>
  <r>
    <s v="F0194"/>
    <d v="2025-08-23T00:00:00"/>
    <s v="D03"/>
    <s v="C06"/>
    <n v="3.3"/>
    <n v="24843.1"/>
    <n v="2814.1"/>
    <n v="22029"/>
    <s v="Processor"/>
    <n v="2.63"/>
    <n v="2677.4"/>
    <n v="7528.212121212121"/>
    <n v="0.11327491335622367"/>
    <n v="57936.27"/>
    <n v="55258.869999999995"/>
    <s v="OK"/>
    <x v="4"/>
    <s v="Tamale Metro"/>
  </r>
  <r>
    <s v="F0125"/>
    <d v="2025-08-14T00:00:00"/>
    <s v="D04"/>
    <s v="C01"/>
    <n v="3"/>
    <n v="3766.1"/>
    <n v="501.8"/>
    <n v="3264.3"/>
    <s v="Wholesaler"/>
    <n v="3.02"/>
    <n v="4443.17"/>
    <n v="1255.3666666666666"/>
    <n v="0.13324128408698654"/>
    <n v="9858.1860000000015"/>
    <n v="5415.0160000000014"/>
    <s v="OK"/>
    <x v="0"/>
    <s v="Kintampo"/>
  </r>
  <r>
    <s v="F0168"/>
    <d v="2025-12-08T00:00:00"/>
    <s v="D05"/>
    <s v="C01"/>
    <n v="5.9"/>
    <n v="8602.5"/>
    <n v="1149.7"/>
    <n v="7452.8"/>
    <s v="Wholesaler"/>
    <n v="2.94"/>
    <n v="3856.24"/>
    <n v="1458.050847457627"/>
    <n v="0.13364719558267946"/>
    <n v="21911.232"/>
    <n v="18054.991999999998"/>
    <s v="OK"/>
    <x v="0"/>
    <s v="Hohoe"/>
  </r>
  <r>
    <s v="F0095"/>
    <d v="2026-07-01T00:00:00"/>
    <s v="D01"/>
    <s v="C01"/>
    <n v="11.7"/>
    <n v="28264.7"/>
    <n v="4129.8999999999996"/>
    <n v="24134.799999999999"/>
    <s v="Farm Gate"/>
    <n v="3.11"/>
    <n v="17623.099999999999"/>
    <n v="2415.7863247863252"/>
    <n v="0.14611511885850548"/>
    <n v="75059.227999999988"/>
    <n v="57436.12799999999"/>
    <s v="OK"/>
    <x v="0"/>
    <s v="Ejura"/>
  </r>
  <r>
    <s v="F0040"/>
    <d v="2025-08-06T00:00:00"/>
    <s v="D04"/>
    <s v="C06"/>
    <n v="9.1999999999999993"/>
    <n v="57925.7"/>
    <n v="6019.4"/>
    <n v="51906.3"/>
    <s v="Processor"/>
    <n v="2.4"/>
    <n v="15429.71"/>
    <n v="6296.271739130435"/>
    <n v="0.10391587844428293"/>
    <n v="124575.12"/>
    <n v="109145.41"/>
    <s v="OK"/>
    <x v="4"/>
    <s v="Kintampo"/>
  </r>
  <r>
    <s v="F0074"/>
    <d v="2026-05-25T00:00:00"/>
    <s v="D01"/>
    <s v="C03"/>
    <n v="6.8"/>
    <n v="49604"/>
    <n v="2007"/>
    <n v="47597"/>
    <s v="Processor"/>
    <n v="5.91"/>
    <n v="10251"/>
    <n v="7294.7058823529414"/>
    <n v="4.0460446738166275E-2"/>
    <n v="281298.27"/>
    <n v="271047.27"/>
    <s v="OK"/>
    <x v="1"/>
    <s v="Ejura"/>
  </r>
  <r>
    <s v="F0136"/>
    <d v="2026-02-05T00:00:00"/>
    <s v="D03"/>
    <s v="C02"/>
    <n v="5.0999999999999996"/>
    <n v="10377.799999999999"/>
    <n v="1202"/>
    <n v="9175.7999999999993"/>
    <s v="Processor"/>
    <n v="5.84"/>
    <n v="8872.64"/>
    <n v="2034.8627450980391"/>
    <n v="0.11582416311742375"/>
    <n v="53586.671999999991"/>
    <n v="44714.031999999992"/>
    <s v="OK"/>
    <x v="2"/>
    <s v="Tamale Metro"/>
  </r>
  <r>
    <s v="F0216"/>
    <d v="2025-09-29T00:00:00"/>
    <s v="D02"/>
    <s v="C02"/>
    <n v="3.8"/>
    <n v="7654.6"/>
    <n v="424.3"/>
    <n v="7230.3"/>
    <s v="Local Market"/>
    <n v="5.56"/>
    <n v="3627.66"/>
    <n v="2014.3684210526317"/>
    <n v="5.5430721396284584E-2"/>
    <n v="40200.468000000001"/>
    <n v="36572.808000000005"/>
    <s v="OK"/>
    <x v="2"/>
    <s v="Techiman"/>
  </r>
  <r>
    <s v="F0108"/>
    <d v="2025-10-30T00:00:00"/>
    <s v="D03"/>
    <s v="C05"/>
    <n v="14.1"/>
    <n v="14444"/>
    <n v="1982.1"/>
    <n v="12461.9"/>
    <s v="Wholesaler"/>
    <n v="4.55"/>
    <n v="21000.14"/>
    <n v="1024.3971631205675"/>
    <n v="0.13722653004707835"/>
    <n v="56701.644999999997"/>
    <n v="35701.504999999997"/>
    <s v="OK"/>
    <x v="5"/>
    <s v="Tamale Metro"/>
  </r>
  <r>
    <s v="F0071"/>
    <d v="2026-01-31T00:00:00"/>
    <s v="D02"/>
    <s v="C05"/>
    <n v="9.3000000000000007"/>
    <n v="13290.7"/>
    <n v="283.60000000000002"/>
    <n v="13007.1"/>
    <s v="Wholesaler"/>
    <n v="4.7699999999999996"/>
    <n v="12425.81"/>
    <n v="1429.1075268817203"/>
    <n v="2.1338228987186531E-2"/>
    <n v="62043.866999999998"/>
    <n v="49618.057000000001"/>
    <s v="OK"/>
    <x v="5"/>
    <s v="Techiman"/>
  </r>
  <r>
    <s v="F0181"/>
    <d v="2026-04-07T00:00:00"/>
    <s v="D05"/>
    <s v="C03"/>
    <n v="12.5"/>
    <n v="114594.1"/>
    <n v="6416.7"/>
    <n v="108177.4"/>
    <s v="Local Market"/>
    <n v="7.71"/>
    <n v="14445.52"/>
    <n v="9167.5280000000002"/>
    <n v="5.5995029412509015E-2"/>
    <n v="834047.75399999996"/>
    <n v="819602.23399999994"/>
    <s v="OK"/>
    <x v="1"/>
    <s v="Hohoe"/>
  </r>
  <r>
    <s v="F0169"/>
    <d v="2025-09-17T00:00:00"/>
    <s v="D04"/>
    <s v="C02"/>
    <n v="3"/>
    <n v="6948.1"/>
    <n v="676.8"/>
    <n v="6271.3"/>
    <s v="Farm Gate"/>
    <n v="6.4"/>
    <n v="5128.32"/>
    <n v="2316.0333333333333"/>
    <n v="9.740792446855974E-2"/>
    <n v="40136.320000000007"/>
    <n v="35008.000000000007"/>
    <s v="OK"/>
    <x v="2"/>
    <s v="Kintampo"/>
  </r>
  <r>
    <s v="F0172"/>
    <d v="2026-01-11T00:00:00"/>
    <s v="D05"/>
    <s v="C01"/>
    <n v="5"/>
    <n v="6698.6"/>
    <n v="767.3"/>
    <n v="5931.3"/>
    <s v="Processor"/>
    <n v="2.87"/>
    <n v="3513.07"/>
    <n v="1339.72"/>
    <n v="0.11454632311229211"/>
    <n v="17022.831000000002"/>
    <n v="13509.761000000002"/>
    <s v="OK"/>
    <x v="0"/>
    <s v="Hohoe"/>
  </r>
  <r>
    <s v="F0155"/>
    <d v="2026-06-29T00:00:00"/>
    <s v="D02"/>
    <s v="C06"/>
    <n v="14.5"/>
    <n v="117206.7"/>
    <n v="2823.2"/>
    <n v="114383.5"/>
    <s v="Processor"/>
    <n v="2.66"/>
    <n v="20163.32"/>
    <n v="8083.2206896551725"/>
    <n v="2.4087360193572552E-2"/>
    <n v="304260.11000000004"/>
    <n v="284096.79000000004"/>
    <s v="OK"/>
    <x v="4"/>
    <s v="Techiman"/>
  </r>
  <r>
    <s v="F0040"/>
    <d v="2026-06-20T00:00:00"/>
    <s v="D04"/>
    <s v="C04"/>
    <n v="13.2"/>
    <n v="74738.899999999994"/>
    <n v="4793.3"/>
    <n v="69945.600000000006"/>
    <s v="Local Market"/>
    <n v="9.1300000000000008"/>
    <n v="22487.21"/>
    <n v="5662.037878787879"/>
    <n v="6.4133938283812059E-2"/>
    <n v="638603.3280000001"/>
    <n v="616116.11800000013"/>
    <s v="OK"/>
    <x v="3"/>
    <s v="Kintampo"/>
  </r>
  <r>
    <s v="F0058"/>
    <d v="2025-07-18T00:00:00"/>
    <s v="D05"/>
    <s v="C01"/>
    <n v="4.3"/>
    <n v="8898.7999999999993"/>
    <n v="912.2"/>
    <n v="7986.6"/>
    <s v="Wholesaler"/>
    <n v="3.23"/>
    <n v="4226.59"/>
    <n v="2069.4883720930234"/>
    <n v="0.10250820335326112"/>
    <n v="25796.718000000001"/>
    <n v="21570.128000000001"/>
    <s v="OK"/>
    <x v="0"/>
    <s v="Hohoe"/>
  </r>
  <r>
    <s v="F0098"/>
    <d v="2026-02-07T00:00:00"/>
    <s v="D03"/>
    <s v="C04"/>
    <n v="12.5"/>
    <n v="64237.7"/>
    <n v="9842.4"/>
    <n v="54395.3"/>
    <s v="Processor"/>
    <n v="10.39"/>
    <n v="18657.919999999998"/>
    <n v="5139.0159999999996"/>
    <n v="0.15321843714827896"/>
    <n v="565167.16700000002"/>
    <n v="546509.24699999997"/>
    <s v="OK"/>
    <x v="3"/>
    <s v="Tamale Metro"/>
  </r>
  <r>
    <s v="F0141"/>
    <d v="2026-01-04T00:00:00"/>
    <s v="D02"/>
    <s v="C06"/>
    <n v="6.5"/>
    <n v="52256.1"/>
    <n v="6554.9"/>
    <n v="45701.2"/>
    <s v="Processor"/>
    <n v="2.0699999999999998"/>
    <n v="8923.6"/>
    <n v="8039.4"/>
    <n v="0.12543798714408461"/>
    <n v="94601.483999999982"/>
    <n v="85677.883999999976"/>
    <s v="OK"/>
    <x v="4"/>
    <s v="Techiman"/>
  </r>
  <r>
    <s v="F0095"/>
    <d v="2026-06-21T00:00:00"/>
    <s v="D02"/>
    <s v="C03"/>
    <n v="6.1"/>
    <n v="41076.199999999997"/>
    <n v="3393.6"/>
    <n v="37682.6"/>
    <s v="Farm Gate"/>
    <n v="6.58"/>
    <n v="7538.2"/>
    <n v="6733.8032786885242"/>
    <n v="8.2617184647070574E-2"/>
    <n v="247951.508"/>
    <n v="240413.30799999999"/>
    <s v="OK"/>
    <x v="1"/>
    <s v="Techiman"/>
  </r>
  <r>
    <s v="F0153"/>
    <d v="2025-07-29T00:00:00"/>
    <s v="D03"/>
    <s v="C01"/>
    <n v="5.7"/>
    <n v="7079.7"/>
    <n v="967.4"/>
    <n v="6112.3"/>
    <s v="Wholesaler"/>
    <n v="3.77"/>
    <n v="9096.2099999999991"/>
    <n v="1242.0526315789473"/>
    <n v="0.13664420808791333"/>
    <n v="23043.370999999999"/>
    <n v="13947.161"/>
    <s v="OK"/>
    <x v="0"/>
    <s v="Tamale Metro"/>
  </r>
  <r>
    <s v="F0054"/>
    <d v="2025-08-12T00:00:00"/>
    <s v="D01"/>
    <s v="C05"/>
    <n v="12.7"/>
    <n v="16565.3"/>
    <n v="712.6"/>
    <n v="15852.7"/>
    <s v="Farm Gate"/>
    <n v="5.01"/>
    <n v="8571.9500000000007"/>
    <n v="1304.3543307086613"/>
    <n v="4.3017633245398514E-2"/>
    <n v="79422.027000000002"/>
    <n v="70850.077000000005"/>
    <s v="OK"/>
    <x v="5"/>
    <s v="Ejura"/>
  </r>
  <r>
    <s v="F0179"/>
    <d v="2025-10-07T00:00:00"/>
    <s v="D04"/>
    <s v="C01"/>
    <n v="9.5"/>
    <n v="22092.400000000001"/>
    <n v="1998.5"/>
    <n v="20093.900000000001"/>
    <s v="Wholesaler"/>
    <n v="3.11"/>
    <n v="11335.89"/>
    <n v="2325.5157894736844"/>
    <n v="9.0460973004291068E-2"/>
    <n v="62492.029000000002"/>
    <n v="51156.139000000003"/>
    <s v="OK"/>
    <x v="0"/>
    <s v="Kintampo"/>
  </r>
  <r>
    <s v="F0048"/>
    <d v="2025-09-11T00:00:00"/>
    <s v="D03"/>
    <s v="C05"/>
    <n v="3.2"/>
    <n v="4931.3"/>
    <n v="243.6"/>
    <n v="4687.7"/>
    <s v="Farm Gate"/>
    <n v="4.18"/>
    <n v="5548.13"/>
    <n v="1541.03125"/>
    <n v="4.9398738669316405E-2"/>
    <n v="19594.585999999999"/>
    <n v="14046.455999999998"/>
    <s v="OK"/>
    <x v="5"/>
    <s v="Tamale Metro"/>
  </r>
  <r>
    <s v="F0068"/>
    <d v="2026-02-06T00:00:00"/>
    <s v="D05"/>
    <s v="C03"/>
    <n v="11.4"/>
    <n v="91039.1"/>
    <n v="13555.7"/>
    <n v="77483.399999999994"/>
    <s v="Farm Gate"/>
    <n v="7.61"/>
    <n v="19819.150000000001"/>
    <n v="7985.8859649122805"/>
    <n v="0.14889975845543288"/>
    <n v="589648.674"/>
    <n v="569829.52399999998"/>
    <s v="OK"/>
    <x v="1"/>
    <s v="Hohoe"/>
  </r>
  <r>
    <s v="F0048"/>
    <d v="2026-04-13T00:00:00"/>
    <s v="D04"/>
    <s v="C02"/>
    <n v="5.3"/>
    <n v="12303.9"/>
    <n v="1147"/>
    <n v="11156.9"/>
    <s v="Processor"/>
    <n v="6.66"/>
    <n v="6788.8"/>
    <n v="2321.4905660377358"/>
    <n v="9.322247417485513E-2"/>
    <n v="74304.953999999998"/>
    <n v="67516.153999999995"/>
    <s v="OK"/>
    <x v="2"/>
    <s v="Kintampo"/>
  </r>
  <r>
    <s v="F0035"/>
    <d v="2025-11-10T00:00:00"/>
    <s v="D04"/>
    <s v="C03"/>
    <n v="2.5"/>
    <n v="15544.5"/>
    <n v="1826.5"/>
    <n v="13718"/>
    <s v="Farm Gate"/>
    <n v="5.77"/>
    <n v="3872.74"/>
    <n v="6217.8"/>
    <n v="0.11750136704300557"/>
    <n v="79152.86"/>
    <n v="75280.12"/>
    <s v="OK"/>
    <x v="1"/>
    <s v="Kintampo"/>
  </r>
  <r>
    <s v="F0199"/>
    <d v="2025-08-17T00:00:00"/>
    <s v="D01"/>
    <s v="C02"/>
    <n v="10.199999999999999"/>
    <n v="23011.3"/>
    <n v="831.5"/>
    <n v="22179.8"/>
    <s v="Local Market"/>
    <n v="5.71"/>
    <n v="10029.36"/>
    <n v="2256.0098039215686"/>
    <n v="3.6134420914941789E-2"/>
    <n v="126646.658"/>
    <n v="116617.298"/>
    <s v="OK"/>
    <x v="2"/>
    <s v="Ejura"/>
  </r>
  <r>
    <s v="F0114"/>
    <d v="2026-02-23T00:00:00"/>
    <s v="D01"/>
    <s v="C02"/>
    <n v="4.9000000000000004"/>
    <n v="14012.8"/>
    <n v="1421.6"/>
    <n v="12591.2"/>
    <s v="Wholesaler"/>
    <n v="6.7"/>
    <n v="4047.1"/>
    <n v="2859.7551020408159"/>
    <n v="0.10145010276318794"/>
    <n v="84361.040000000008"/>
    <n v="80313.94"/>
    <s v="OK"/>
    <x v="2"/>
    <s v="Ejura"/>
  </r>
  <r>
    <s v="F0148"/>
    <d v="2026-02-15T00:00:00"/>
    <s v="D04"/>
    <s v="C05"/>
    <n v="1.6"/>
    <n v="2937.7"/>
    <n v="422.7"/>
    <n v="2515"/>
    <s v="Wholesaler"/>
    <n v="4.16"/>
    <n v="2269.64"/>
    <n v="1836.0624999999998"/>
    <n v="0.1438880757054839"/>
    <n v="10462.4"/>
    <n v="8192.76"/>
    <s v="OK"/>
    <x v="5"/>
    <s v="Kintampo"/>
  </r>
  <r>
    <s v="F0168"/>
    <d v="2025-11-10T00:00:00"/>
    <s v="D03"/>
    <s v="C01"/>
    <n v="2.5"/>
    <n v="5979.9"/>
    <n v="397.4"/>
    <n v="5582.5"/>
    <s v="Wholesaler"/>
    <n v="3.57"/>
    <n v="2080.33"/>
    <n v="2391.96"/>
    <n v="6.6455960802020098E-2"/>
    <n v="19929.524999999998"/>
    <n v="17849.195"/>
    <s v="OK"/>
    <x v="0"/>
    <s v="Tamale Metro"/>
  </r>
  <r>
    <s v="F0013"/>
    <d v="2025-07-14T00:00:00"/>
    <s v="D01"/>
    <s v="C05"/>
    <n v="11.8"/>
    <n v="17994.900000000001"/>
    <n v="377.4"/>
    <n v="17617.5"/>
    <s v="Local Market"/>
    <n v="3.99"/>
    <n v="11316.81"/>
    <n v="1524.9915254237289"/>
    <n v="2.0972608905856657E-2"/>
    <n v="70293.824999999997"/>
    <n v="58977.014999999999"/>
    <s v="OK"/>
    <x v="5"/>
    <s v="Ejura"/>
  </r>
  <r>
    <s v="F0065"/>
    <d v="2025-11-19T00:00:00"/>
    <s v="D05"/>
    <s v="C05"/>
    <n v="10.1"/>
    <n v="16908.3"/>
    <n v="1456.6"/>
    <n v="15451.7"/>
    <s v="Farm Gate"/>
    <n v="3.97"/>
    <n v="17792.97"/>
    <n v="1674.0891089108911"/>
    <n v="8.6147040211020626E-2"/>
    <n v="61343.249000000003"/>
    <n v="43550.279000000002"/>
    <s v="OK"/>
    <x v="5"/>
    <s v="Hohoe"/>
  </r>
  <r>
    <s v="F0010"/>
    <d v="2025-10-02T00:00:00"/>
    <s v="D03"/>
    <s v="C02"/>
    <n v="7"/>
    <n v="16115.5"/>
    <n v="2173"/>
    <n v="13942.5"/>
    <s v="Local Market"/>
    <n v="5.27"/>
    <n v="8933.73"/>
    <n v="2302.2142857142858"/>
    <n v="0.13483913003009526"/>
    <n v="73476.974999999991"/>
    <n v="64543.244999999995"/>
    <s v="OK"/>
    <x v="2"/>
    <s v="Tamale Metro"/>
  </r>
  <r>
    <s v="F0113"/>
    <d v="2026-05-28T00:00:00"/>
    <s v="D05"/>
    <s v="C06"/>
    <n v="9.5"/>
    <n v="75019.600000000006"/>
    <n v="8742.2000000000007"/>
    <n v="66277.399999999994"/>
    <s v="Wholesaler"/>
    <n v="2.48"/>
    <n v="12791.86"/>
    <n v="7896.8"/>
    <n v="0.11653221291502487"/>
    <n v="164367.95199999999"/>
    <n v="151576.092"/>
    <s v="OK"/>
    <x v="4"/>
    <s v="Hohoe"/>
  </r>
  <r>
    <s v="F0039"/>
    <d v="2026-05-19T00:00:00"/>
    <s v="D04"/>
    <s v="C04"/>
    <n v="4.0999999999999996"/>
    <n v="14512.5"/>
    <n v="1150.4000000000001"/>
    <n v="13362.1"/>
    <s v="Farm Gate"/>
    <n v="8.74"/>
    <n v="5964.55"/>
    <n v="3539.6341463414637"/>
    <n v="7.9269595176571922E-2"/>
    <n v="116784.754"/>
    <n v="110820.204"/>
    <s v="OK"/>
    <x v="3"/>
    <s v="Kintampo"/>
  </r>
  <r>
    <s v="F0140"/>
    <d v="2025-09-11T00:00:00"/>
    <s v="D04"/>
    <s v="C04"/>
    <n v="4.0999999999999996"/>
    <n v="22678.9"/>
    <n v="2855.1"/>
    <n v="19823.8"/>
    <s v="Wholesaler"/>
    <n v="9.7100000000000009"/>
    <n v="5721.01"/>
    <n v="5531.4390243902444"/>
    <n v="0.12589234927619944"/>
    <n v="192489.098"/>
    <n v="186768.08799999999"/>
    <s v="OK"/>
    <x v="3"/>
    <s v="Kintampo"/>
  </r>
  <r>
    <s v="F0084"/>
    <d v="2025-12-22T00:00:00"/>
    <s v="D04"/>
    <s v="C06"/>
    <n v="12.8"/>
    <n v="84508.5"/>
    <n v="4699.3999999999996"/>
    <n v="79809.100000000006"/>
    <s v="Local Market"/>
    <n v="2.76"/>
    <n v="10892.41"/>
    <n v="6602.2265625"/>
    <n v="5.5608607418188696E-2"/>
    <n v="220273.11600000001"/>
    <n v="209380.70600000001"/>
    <s v="OK"/>
    <x v="4"/>
    <s v="Kintampo"/>
  </r>
  <r>
    <s v="F0026"/>
    <d v="2026-05-21T00:00:00"/>
    <s v="D05"/>
    <s v="C01"/>
    <n v="7.8"/>
    <n v="16260.1"/>
    <n v="551.79999999999995"/>
    <n v="15708.3"/>
    <s v="Processor"/>
    <n v="3.36"/>
    <n v="7964.03"/>
    <n v="2084.6282051282051"/>
    <n v="3.3935830652948008E-2"/>
    <n v="52779.887999999999"/>
    <n v="44815.858"/>
    <s v="OK"/>
    <x v="0"/>
    <s v="Hohoe"/>
  </r>
  <r>
    <s v="F0057"/>
    <d v="2025-08-09T00:00:00"/>
    <s v="D04"/>
    <s v="C02"/>
    <n v="9.6999999999999993"/>
    <n v="21005.9"/>
    <n v="1143.9000000000001"/>
    <n v="19862"/>
    <s v="Processor"/>
    <n v="6.54"/>
    <n v="8834.94"/>
    <n v="2165.5567010309283"/>
    <n v="5.4456128992330724E-2"/>
    <n v="129897.48"/>
    <n v="121062.54"/>
    <s v="OK"/>
    <x v="2"/>
    <s v="Kintampo"/>
  </r>
  <r>
    <s v="F0071"/>
    <d v="2026-03-17T00:00:00"/>
    <s v="D03"/>
    <s v="C01"/>
    <n v="10.6"/>
    <n v="21811.599999999999"/>
    <n v="2009.4"/>
    <n v="19802.2"/>
    <s v="Local Market"/>
    <n v="3.39"/>
    <n v="7908.03"/>
    <n v="2057.6981132075471"/>
    <n v="9.2125291129490736E-2"/>
    <n v="67129.457999999999"/>
    <n v="59221.428"/>
    <s v="OK"/>
    <x v="0"/>
    <s v="Tamale Metro"/>
  </r>
  <r>
    <s v="F0057"/>
    <d v="2026-03-17T00:00:00"/>
    <s v="D01"/>
    <s v="C03"/>
    <n v="6.6"/>
    <n v="57548.6"/>
    <n v="9037.2000000000007"/>
    <n v="48511.4"/>
    <s v="Local Market"/>
    <n v="6.54"/>
    <n v="10475.68"/>
    <n v="8719.484848484848"/>
    <n v="0.15703596612254686"/>
    <n v="317264.55599999998"/>
    <n v="306788.87599999999"/>
    <s v="OK"/>
    <x v="1"/>
    <s v="Ejura"/>
  </r>
  <r>
    <s v="F0095"/>
    <d v="2026-05-21T00:00:00"/>
    <s v="D02"/>
    <s v="C03"/>
    <n v="14.9"/>
    <n v="106343.3"/>
    <n v="5127"/>
    <n v="101216.3"/>
    <s v="Processor"/>
    <n v="6.27"/>
    <n v="12403.77"/>
    <n v="7137.1342281879197"/>
    <n v="4.8211782030461718E-2"/>
    <n v="634626.201"/>
    <n v="622222.43099999998"/>
    <s v="OK"/>
    <x v="1"/>
    <s v="Techiman"/>
  </r>
  <r>
    <s v="F0122"/>
    <d v="2026-06-30T00:00:00"/>
    <s v="D02"/>
    <s v="C03"/>
    <n v="2.6"/>
    <n v="13737.1"/>
    <n v="1380.9"/>
    <n v="12356.2"/>
    <s v="Processor"/>
    <n v="5.69"/>
    <n v="2928.52"/>
    <n v="5283.5"/>
    <n v="0.10052340013539976"/>
    <n v="70306.778000000006"/>
    <n v="67378.258000000002"/>
    <s v="OK"/>
    <x v="1"/>
    <s v="Techiman"/>
  </r>
  <r>
    <s v="F0194"/>
    <d v="2026-06-11T00:00:00"/>
    <s v="D05"/>
    <s v="C05"/>
    <n v="8.4"/>
    <n v="8537.7000000000007"/>
    <n v="1297"/>
    <n v="7240.7"/>
    <s v="Local Market"/>
    <n v="3.97"/>
    <n v="12197.64"/>
    <n v="1016.3928571428572"/>
    <n v="0.15191445002752496"/>
    <n v="28745.579000000002"/>
    <n v="16547.939000000002"/>
    <s v="OK"/>
    <x v="5"/>
    <s v="Hohoe"/>
  </r>
  <r>
    <s v="F0124"/>
    <d v="2026-05-11T00:00:00"/>
    <s v="D04"/>
    <s v="C06"/>
    <n v="2.9"/>
    <n v="12575.6"/>
    <n v="927.1"/>
    <n v="11648.5"/>
    <s v="Local Market"/>
    <n v="2.2200000000000002"/>
    <n v="3597.27"/>
    <n v="4336.4137931034484"/>
    <n v="7.3722128566430234E-2"/>
    <n v="25859.670000000002"/>
    <n v="22262.400000000001"/>
    <s v="OK"/>
    <x v="4"/>
    <s v="Kintampo"/>
  </r>
  <r>
    <s v="F0084"/>
    <d v="2025-12-09T00:00:00"/>
    <s v="D03"/>
    <s v="C01"/>
    <n v="12.9"/>
    <n v="16413.599999999999"/>
    <n v="1733.4"/>
    <n v="14680.2"/>
    <s v="Wholesaler"/>
    <n v="3.46"/>
    <n v="20625.63"/>
    <n v="1272.3720930232557"/>
    <n v="0.10560754496271386"/>
    <n v="50793.491999999998"/>
    <n v="30167.861999999997"/>
    <s v="OK"/>
    <x v="0"/>
    <s v="Tamale Metro"/>
  </r>
  <r>
    <s v="F0015"/>
    <d v="2026-03-30T00:00:00"/>
    <s v="D04"/>
    <s v="C06"/>
    <n v="9.1999999999999993"/>
    <n v="46670.9"/>
    <n v="4916.1000000000004"/>
    <n v="41754.800000000003"/>
    <s v="Farm Gate"/>
    <n v="2.41"/>
    <n v="8931.4500000000007"/>
    <n v="5072.9239130434789"/>
    <n v="0.10533544457038541"/>
    <n v="100629.06800000001"/>
    <n v="91697.618000000017"/>
    <s v="OK"/>
    <x v="4"/>
    <s v="Kintampo"/>
  </r>
  <r>
    <s v="F0125"/>
    <d v="2026-03-01T00:00:00"/>
    <s v="D02"/>
    <s v="C04"/>
    <n v="5.8"/>
    <n v="22486"/>
    <n v="2859.1"/>
    <n v="19626.900000000001"/>
    <s v="Processor"/>
    <n v="7.91"/>
    <n v="6605.17"/>
    <n v="3876.8965517241381"/>
    <n v="0.12715022680779151"/>
    <n v="155248.77900000001"/>
    <n v="148643.609"/>
    <s v="OK"/>
    <x v="3"/>
    <s v="Techiman"/>
  </r>
  <r>
    <s v="F0058"/>
    <d v="2026-06-05T00:00:00"/>
    <s v="D03"/>
    <s v="C06"/>
    <n v="14.8"/>
    <n v="114185.8"/>
    <n v="7827.9"/>
    <n v="106357.9"/>
    <s v="Local Market"/>
    <n v="2.2799999999999998"/>
    <n v="21019.18"/>
    <n v="7715.2567567567567"/>
    <n v="6.8554058385543556E-2"/>
    <n v="242496.01199999996"/>
    <n v="221476.83199999997"/>
    <s v="OK"/>
    <x v="4"/>
    <s v="Tamale Metro"/>
  </r>
  <r>
    <s v="F0141"/>
    <d v="2025-09-11T00:00:00"/>
    <s v="D03"/>
    <s v="C04"/>
    <n v="7.9"/>
    <n v="44592.7"/>
    <n v="3186.5"/>
    <n v="41406.199999999997"/>
    <s v="Local Market"/>
    <n v="7.75"/>
    <n v="6399.82"/>
    <n v="5644.6455696202529"/>
    <n v="7.1457884362238669E-2"/>
    <n v="320898.05"/>
    <n v="314498.23"/>
    <s v="OK"/>
    <x v="3"/>
    <s v="Tamale Metro"/>
  </r>
  <r>
    <s v="F0047"/>
    <d v="2025-07-27T00:00:00"/>
    <s v="D03"/>
    <s v="C03"/>
    <n v="3.1"/>
    <n v="19429.8"/>
    <n v="2963.4"/>
    <n v="16466.400000000001"/>
    <s v="Farm Gate"/>
    <n v="7.17"/>
    <n v="4481.57"/>
    <n v="6267.6774193548381"/>
    <n v="0.15251829663712443"/>
    <n v="118064.088"/>
    <n v="113582.51800000001"/>
    <s v="OK"/>
    <x v="1"/>
    <s v="Tamale Metro"/>
  </r>
  <r>
    <s v="F0027"/>
    <d v="2025-12-12T00:00:00"/>
    <s v="D05"/>
    <s v="C01"/>
    <n v="7.2"/>
    <n v="15841"/>
    <n v="1925.3"/>
    <n v="13915.7"/>
    <s v="Wholesaler"/>
    <n v="2.73"/>
    <n v="10544.01"/>
    <n v="2200.1388888888887"/>
    <n v="0.1215390442522568"/>
    <n v="37989.861000000004"/>
    <n v="27445.851000000002"/>
    <s v="OK"/>
    <x v="0"/>
    <s v="Hohoe"/>
  </r>
  <r>
    <s v="F0118"/>
    <d v="2025-09-11T00:00:00"/>
    <s v="D02"/>
    <s v="C05"/>
    <n v="9.3000000000000007"/>
    <n v="16909.7"/>
    <n v="1140.2"/>
    <n v="15769.5"/>
    <s v="Processor"/>
    <n v="4.32"/>
    <n v="9720.18"/>
    <n v="1818.247311827957"/>
    <n v="6.7428753910477424E-2"/>
    <n v="68124.240000000005"/>
    <n v="58404.060000000005"/>
    <s v="OK"/>
    <x v="5"/>
    <s v="Techiman"/>
  </r>
  <r>
    <s v="F0136"/>
    <d v="2025-09-27T00:00:00"/>
    <s v="D04"/>
    <s v="C05"/>
    <n v="13.4"/>
    <n v="17695"/>
    <n v="1669.3"/>
    <n v="16025.7"/>
    <s v="Processor"/>
    <n v="4.41"/>
    <n v="15247.51"/>
    <n v="1320.5223880597014"/>
    <n v="9.4337383441650186E-2"/>
    <n v="70673.337"/>
    <n v="55425.826999999997"/>
    <s v="OK"/>
    <x v="5"/>
    <s v="Kintampo"/>
  </r>
  <r>
    <s v="F0114"/>
    <d v="2025-10-30T00:00:00"/>
    <s v="D05"/>
    <s v="C04"/>
    <n v="6.6"/>
    <n v="30945.9"/>
    <n v="4568.8999999999996"/>
    <n v="26377"/>
    <s v="Farm Gate"/>
    <n v="8.3800000000000008"/>
    <n v="5662.07"/>
    <n v="4688.7727272727279"/>
    <n v="0.14764152924943205"/>
    <n v="221039.26"/>
    <n v="215377.19"/>
    <s v="OK"/>
    <x v="3"/>
    <s v="Hohoe"/>
  </r>
  <r>
    <s v="F0086"/>
    <d v="2026-04-01T00:00:00"/>
    <s v="D03"/>
    <s v="C03"/>
    <n v="14.6"/>
    <n v="98681"/>
    <n v="12629.8"/>
    <n v="86051.199999999997"/>
    <s v="Processor"/>
    <n v="5.64"/>
    <n v="23556.63"/>
    <n v="6758.9726027397264"/>
    <n v="0.12798613714899523"/>
    <n v="485328.76799999998"/>
    <n v="461772.13799999998"/>
    <s v="OK"/>
    <x v="1"/>
    <s v="Tamale Metro"/>
  </r>
  <r>
    <s v="F0200"/>
    <d v="2025-07-27T00:00:00"/>
    <s v="D01"/>
    <s v="C06"/>
    <n v="2.2000000000000002"/>
    <n v="9872.1"/>
    <n v="1092.8"/>
    <n v="8779.2999999999993"/>
    <s v="Local Market"/>
    <n v="2.4900000000000002"/>
    <n v="1748.75"/>
    <n v="4487.318181818182"/>
    <n v="0.11069579927269779"/>
    <n v="21860.456999999999"/>
    <n v="20111.706999999999"/>
    <s v="OK"/>
    <x v="4"/>
    <s v="Ejura"/>
  </r>
  <r>
    <s v="F0001"/>
    <d v="2026-01-02T00:00:00"/>
    <s v="D05"/>
    <s v="C04"/>
    <n v="10.5"/>
    <n v="51274.6"/>
    <n v="2598.3000000000002"/>
    <n v="48676.3"/>
    <s v="Processor"/>
    <n v="9.7799999999999994"/>
    <n v="12766.05"/>
    <n v="4883.2952380952383"/>
    <n v="5.0674212963143547E-2"/>
    <n v="476054.21399999998"/>
    <n v="463288.16399999999"/>
    <s v="OK"/>
    <x v="3"/>
    <s v="Hohoe"/>
  </r>
  <r>
    <s v="F0016"/>
    <d v="2025-11-08T00:00:00"/>
    <s v="D03"/>
    <s v="C03"/>
    <n v="10.1"/>
    <n v="81210.100000000006"/>
    <n v="6327.6"/>
    <n v="74882.5"/>
    <s v="Processor"/>
    <n v="7.77"/>
    <n v="7596.41"/>
    <n v="8040.6039603960407"/>
    <n v="7.7916416800373353E-2"/>
    <n v="581837.02500000002"/>
    <n v="574240.61499999999"/>
    <s v="OK"/>
    <x v="1"/>
    <s v="Tamale Metro"/>
  </r>
  <r>
    <s v="F0087"/>
    <d v="2026-03-23T00:00:00"/>
    <s v="D01"/>
    <s v="C06"/>
    <n v="1.3"/>
    <n v="8567.5"/>
    <n v="1046"/>
    <n v="7521.5"/>
    <s v="Farm Gate"/>
    <n v="2.31"/>
    <n v="1580.94"/>
    <n v="6590.3846153846152"/>
    <n v="0.1220892909250073"/>
    <n v="17374.665000000001"/>
    <n v="15793.725"/>
    <s v="OK"/>
    <x v="4"/>
    <s v="Ejura"/>
  </r>
  <r>
    <s v="F0206"/>
    <d v="2026-06-12T00:00:00"/>
    <s v="D03"/>
    <s v="C06"/>
    <n v="2.2000000000000002"/>
    <n v="10450.799999999999"/>
    <n v="1129.4000000000001"/>
    <n v="9321.4"/>
    <s v="Farm Gate"/>
    <n v="2.27"/>
    <n v="1688.01"/>
    <n v="4750.363636363636"/>
    <n v="0.10806828185402076"/>
    <n v="21159.577999999998"/>
    <n v="19471.567999999999"/>
    <s v="OK"/>
    <x v="4"/>
    <s v="Tamale Metro"/>
  </r>
  <r>
    <s v="F0116"/>
    <d v="2026-04-07T00:00:00"/>
    <s v="D01"/>
    <s v="C04"/>
    <n v="2"/>
    <n v="7935.4"/>
    <n v="1149"/>
    <n v="6786.4"/>
    <s v="Local Market"/>
    <n v="9.6199999999999992"/>
    <n v="1799.74"/>
    <n v="3967.7"/>
    <n v="0.14479421327217279"/>
    <n v="65285.167999999991"/>
    <n v="63485.427999999993"/>
    <s v="OK"/>
    <x v="3"/>
    <s v="Ejura"/>
  </r>
  <r>
    <s v="F0084"/>
    <d v="2025-12-20T00:00:00"/>
    <s v="D03"/>
    <s v="C06"/>
    <n v="8.8000000000000007"/>
    <n v="47823.8"/>
    <n v="3709.4"/>
    <n v="44114.400000000001"/>
    <s v="Processor"/>
    <n v="2.56"/>
    <n v="6803.75"/>
    <n v="5434.522727272727"/>
    <n v="7.7563890782413769E-2"/>
    <n v="112932.864"/>
    <n v="106129.114"/>
    <s v="OK"/>
    <x v="4"/>
    <s v="Tamale Metro"/>
  </r>
  <r>
    <s v="F0218"/>
    <d v="2025-10-21T00:00:00"/>
    <s v="D03"/>
    <s v="C05"/>
    <n v="2.5"/>
    <n v="4866.8"/>
    <n v="727.4"/>
    <n v="4139.3999999999996"/>
    <s v="Processor"/>
    <n v="4.8499999999999996"/>
    <n v="3919.14"/>
    <n v="1946.72"/>
    <n v="0.14946165858469629"/>
    <n v="20076.089999999997"/>
    <n v="16156.949999999997"/>
    <s v="OK"/>
    <x v="5"/>
    <s v="Tamale Metro"/>
  </r>
  <r>
    <s v="F0134"/>
    <d v="2026-06-15T00:00:00"/>
    <s v="D01"/>
    <s v="C03"/>
    <n v="5.9"/>
    <n v="46094.1"/>
    <n v="4577.3999999999996"/>
    <n v="41516.699999999997"/>
    <s v="Farm Gate"/>
    <n v="6.88"/>
    <n v="7213.9"/>
    <n v="7812.5593220338978"/>
    <n v="9.9305551035815856E-2"/>
    <n v="285634.89599999995"/>
    <n v="278420.99599999993"/>
    <s v="OK"/>
    <x v="1"/>
    <s v="Ejura"/>
  </r>
  <r>
    <s v="F0186"/>
    <d v="2025-07-28T00:00:00"/>
    <s v="D01"/>
    <s v="C03"/>
    <n v="12.4"/>
    <n v="122739"/>
    <n v="16046.5"/>
    <n v="106692.5"/>
    <s v="Local Market"/>
    <n v="6.01"/>
    <n v="10716.54"/>
    <n v="9898.3064516129034"/>
    <n v="0.13073676663489192"/>
    <n v="641221.92499999993"/>
    <n v="630505.38499999989"/>
    <s v="OK"/>
    <x v="1"/>
    <s v="Ejura"/>
  </r>
  <r>
    <s v="F0010"/>
    <d v="2026-03-01T00:00:00"/>
    <s v="D05"/>
    <s v="C06"/>
    <n v="3.1"/>
    <n v="17188.3"/>
    <n v="2397.1999999999998"/>
    <n v="14791.1"/>
    <s v="Local Market"/>
    <n v="2.29"/>
    <n v="2290.7600000000002"/>
    <n v="5544.6129032258059"/>
    <n v="0.13946696299226799"/>
    <n v="33871.618999999999"/>
    <n v="31580.858999999997"/>
    <s v="OK"/>
    <x v="4"/>
    <s v="Hohoe"/>
  </r>
  <r>
    <s v="F0104"/>
    <d v="2025-09-05T00:00:00"/>
    <s v="D01"/>
    <s v="C06"/>
    <n v="2.5"/>
    <n v="18137"/>
    <n v="1606.1"/>
    <n v="16530.900000000001"/>
    <s v="Wholesaler"/>
    <n v="2.77"/>
    <n v="4402.42"/>
    <n v="7254.8"/>
    <n v="8.8553785080222741E-2"/>
    <n v="45790.593000000001"/>
    <n v="41388.173000000003"/>
    <s v="OK"/>
    <x v="4"/>
    <s v="Ejura"/>
  </r>
  <r>
    <s v="F0174"/>
    <d v="2025-10-14T00:00:00"/>
    <s v="D04"/>
    <s v="C04"/>
    <n v="14"/>
    <n v="61636.800000000003"/>
    <n v="4327.5"/>
    <n v="57309.3"/>
    <s v="Wholesaler"/>
    <n v="8.16"/>
    <n v="11784.09"/>
    <n v="4402.6285714285714"/>
    <n v="7.020967993146951E-2"/>
    <n v="467643.88800000004"/>
    <n v="455859.79800000001"/>
    <s v="OK"/>
    <x v="3"/>
    <s v="Kintampo"/>
  </r>
  <r>
    <s v="F0122"/>
    <d v="2026-05-07T00:00:00"/>
    <s v="D02"/>
    <s v="C03"/>
    <n v="10.5"/>
    <n v="92389.2"/>
    <n v="14612"/>
    <n v="77777.2"/>
    <s v="Local Market"/>
    <n v="7.3"/>
    <n v="18320.689999999999"/>
    <n v="8798.971428571429"/>
    <n v="0.15815701402328411"/>
    <n v="567773.55999999994"/>
    <n v="549452.87"/>
    <s v="OK"/>
    <x v="1"/>
    <s v="Techiman"/>
  </r>
  <r>
    <s v="F0112"/>
    <d v="2026-03-07T00:00:00"/>
    <s v="D05"/>
    <s v="C02"/>
    <n v="13.5"/>
    <n v="32586.2"/>
    <n v="1055.0999999999999"/>
    <n v="31531.1"/>
    <s v="Farm Gate"/>
    <n v="5.52"/>
    <n v="18948.650000000001"/>
    <n v="2413.7925925925924"/>
    <n v="3.2378737011372907E-2"/>
    <n v="174051.67199999999"/>
    <n v="155103.022"/>
    <s v="OK"/>
    <x v="2"/>
    <s v="Hohoe"/>
  </r>
  <r>
    <s v="F0041"/>
    <d v="2025-08-02T00:00:00"/>
    <s v="D01"/>
    <s v="C02"/>
    <n v="4"/>
    <n v="7874.8"/>
    <n v="1255.0999999999999"/>
    <n v="6619.7"/>
    <s v="Wholesaler"/>
    <n v="6.25"/>
    <n v="5460.32"/>
    <n v="1968.7"/>
    <n v="0.15938182557017319"/>
    <n v="41373.125"/>
    <n v="35912.805"/>
    <s v="OK"/>
    <x v="2"/>
    <s v="Ejura"/>
  </r>
  <r>
    <s v="F0025"/>
    <d v="2025-11-11T00:00:00"/>
    <s v="D04"/>
    <s v="C02"/>
    <n v="4.4000000000000004"/>
    <n v="12859.7"/>
    <n v="633.9"/>
    <n v="12225.8"/>
    <s v="Wholesaler"/>
    <n v="6.26"/>
    <n v="4052.62"/>
    <n v="2922.659090909091"/>
    <n v="4.9293529398041942E-2"/>
    <n v="76533.507999999987"/>
    <n v="72480.887999999992"/>
    <s v="OK"/>
    <x v="2"/>
    <s v="Kintampo"/>
  </r>
  <r>
    <s v="F0043"/>
    <d v="2026-04-06T00:00:00"/>
    <s v="D03"/>
    <s v="C05"/>
    <n v="7.9"/>
    <n v="10537.7"/>
    <n v="584.20000000000005"/>
    <n v="9953.5"/>
    <s v="Wholesaler"/>
    <n v="4.82"/>
    <n v="11453.45"/>
    <n v="1333.8860759493671"/>
    <n v="5.5439042675346613E-2"/>
    <n v="47975.87"/>
    <n v="36522.42"/>
    <s v="OK"/>
    <x v="5"/>
    <s v="Tamale Metro"/>
  </r>
  <r>
    <s v="F0070"/>
    <d v="2025-12-31T00:00:00"/>
    <s v="D04"/>
    <s v="C03"/>
    <n v="14.7"/>
    <n v="100934.3"/>
    <n v="14569.3"/>
    <n v="86365"/>
    <s v="Wholesaler"/>
    <n v="6.54"/>
    <n v="15478.57"/>
    <n v="6866.2789115646265"/>
    <n v="0.1443443903608585"/>
    <n v="564827.1"/>
    <n v="549348.53"/>
    <s v="OK"/>
    <x v="1"/>
    <s v="Kintampo"/>
  </r>
  <r>
    <s v="F0154"/>
    <d v="2025-07-25T00:00:00"/>
    <s v="D02"/>
    <s v="C06"/>
    <n v="12.3"/>
    <n v="88632.9"/>
    <n v="2241.4"/>
    <n v="86391.5"/>
    <s v="Wholesaler"/>
    <n v="2.73"/>
    <n v="8488.02"/>
    <n v="7205.9268292682918"/>
    <n v="2.5288577943404767E-2"/>
    <n v="235848.79500000001"/>
    <n v="227360.77500000002"/>
    <s v="OK"/>
    <x v="4"/>
    <s v="Techiman"/>
  </r>
  <r>
    <s v="F0201"/>
    <d v="2026-02-26T00:00:00"/>
    <s v="D03"/>
    <s v="C04"/>
    <n v="5.9"/>
    <n v="26033.8"/>
    <n v="3427.4"/>
    <n v="22606.400000000001"/>
    <s v="Processor"/>
    <n v="10.08"/>
    <n v="7067.05"/>
    <n v="4412.5084745762706"/>
    <n v="0.13165192941483764"/>
    <n v="227872.51200000002"/>
    <n v="220805.46200000003"/>
    <s v="OK"/>
    <x v="3"/>
    <s v="Tamale Metro"/>
  </r>
  <r>
    <s v="F0195"/>
    <d v="2026-03-10T00:00:00"/>
    <s v="D05"/>
    <s v="C02"/>
    <n v="4.2"/>
    <n v="9640.9"/>
    <n v="227.7"/>
    <n v="9413.2000000000007"/>
    <s v="Farm Gate"/>
    <n v="5.34"/>
    <n v="3011.2"/>
    <n v="2295.4523809523807"/>
    <n v="2.3618126938356378E-2"/>
    <n v="50266.488000000005"/>
    <n v="47255.288000000008"/>
    <s v="OK"/>
    <x v="2"/>
    <s v="Hohoe"/>
  </r>
  <r>
    <s v="F0078"/>
    <d v="2025-07-03T00:00:00"/>
    <s v="D04"/>
    <s v="C03"/>
    <n v="5.4"/>
    <n v="47844.6"/>
    <n v="2780.7"/>
    <n v="45063.9"/>
    <s v="Local Market"/>
    <n v="5.65"/>
    <n v="6974.45"/>
    <n v="8860.1111111111095"/>
    <n v="5.8119411595038938E-2"/>
    <n v="254611.03500000003"/>
    <n v="247636.58500000002"/>
    <s v="OK"/>
    <x v="1"/>
    <s v="Kintampo"/>
  </r>
  <r>
    <s v="F0181"/>
    <d v="2026-01-01T00:00:00"/>
    <s v="D01"/>
    <s v="C06"/>
    <n v="13.9"/>
    <n v="108880.4"/>
    <n v="4220.7"/>
    <n v="104659.7"/>
    <s v="Processor"/>
    <n v="2.46"/>
    <n v="23681.11"/>
    <n v="7833.1223021582728"/>
    <n v="3.8764552665126135E-2"/>
    <n v="257462.86199999999"/>
    <n v="233781.75199999998"/>
    <s v="OK"/>
    <x v="4"/>
    <s v="Ejura"/>
  </r>
  <r>
    <s v="F0175"/>
    <d v="2025-12-15T00:00:00"/>
    <s v="D01"/>
    <s v="C05"/>
    <n v="6"/>
    <n v="11563.8"/>
    <n v="1799"/>
    <n v="9764.7999999999993"/>
    <s v="Processor"/>
    <n v="4.5"/>
    <n v="4042.21"/>
    <n v="1927.3"/>
    <n v="0.15557169788477837"/>
    <n v="43941.599999999999"/>
    <n v="39899.39"/>
    <s v="OK"/>
    <x v="5"/>
    <s v="Ejura"/>
  </r>
  <r>
    <s v="F0173"/>
    <d v="2025-07-03T00:00:00"/>
    <s v="D03"/>
    <s v="C03"/>
    <n v="3.6"/>
    <n v="21505.4"/>
    <n v="2715.9"/>
    <n v="18789.5"/>
    <s v="Wholesaler"/>
    <n v="7.08"/>
    <n v="5997.39"/>
    <n v="5973.7222222222226"/>
    <n v="0.1262892110818678"/>
    <n v="133029.66"/>
    <n v="127032.27"/>
    <s v="OK"/>
    <x v="1"/>
    <s v="Tamale Metro"/>
  </r>
  <r>
    <s v="F0016"/>
    <d v="2025-09-12T00:00:00"/>
    <s v="D05"/>
    <s v="C06"/>
    <n v="6.3"/>
    <n v="29171.5"/>
    <n v="4117.8"/>
    <n v="25053.7"/>
    <s v="Farm Gate"/>
    <n v="2.15"/>
    <n v="11065.77"/>
    <n v="4630.3968253968251"/>
    <n v="0.14115832233515591"/>
    <n v="53865.455000000002"/>
    <n v="42799.684999999998"/>
    <s v="OK"/>
    <x v="4"/>
    <s v="Hohoe"/>
  </r>
  <r>
    <s v="F0188"/>
    <d v="2025-07-19T00:00:00"/>
    <s v="D04"/>
    <s v="C03"/>
    <n v="3.7"/>
    <n v="33909.5"/>
    <n v="1392.7"/>
    <n v="32516.799999999999"/>
    <s v="Farm Gate"/>
    <n v="6.88"/>
    <n v="2561.62"/>
    <n v="9164.72972972973"/>
    <n v="4.1071086273758092E-2"/>
    <n v="223715.584"/>
    <n v="221153.96400000001"/>
    <s v="OK"/>
    <x v="1"/>
    <s v="Kintampo"/>
  </r>
  <r>
    <s v="F0104"/>
    <d v="2026-03-14T00:00:00"/>
    <s v="D02"/>
    <s v="C03"/>
    <n v="9.4"/>
    <n v="48660.4"/>
    <n v="2003.8"/>
    <n v="46656.6"/>
    <s v="Local Market"/>
    <n v="6.64"/>
    <n v="15012.35"/>
    <n v="5176.6382978723404"/>
    <n v="4.1179275139538514E-2"/>
    <n v="309799.82399999996"/>
    <n v="294787.47399999999"/>
    <s v="OK"/>
    <x v="1"/>
    <s v="Techiman"/>
  </r>
  <r>
    <s v="F0066"/>
    <d v="2025-09-29T00:00:00"/>
    <s v="D01"/>
    <s v="C01"/>
    <n v="3.6"/>
    <n v="7121.6"/>
    <n v="676.7"/>
    <n v="6444.9"/>
    <s v="Farm Gate"/>
    <n v="3.37"/>
    <n v="2591.0300000000002"/>
    <n v="1978.2222222222222"/>
    <n v="9.5020781846776009E-2"/>
    <n v="21719.312999999998"/>
    <n v="19128.282999999999"/>
    <s v="OK"/>
    <x v="0"/>
    <s v="Ejura"/>
  </r>
  <r>
    <s v="F0203"/>
    <d v="2026-05-03T00:00:00"/>
    <s v="D05"/>
    <s v="C05"/>
    <n v="1.8"/>
    <n v="3634.5"/>
    <n v="262.8"/>
    <n v="3371.7"/>
    <s v="Processor"/>
    <n v="4.47"/>
    <n v="2701.43"/>
    <n v="2019.1666666666665"/>
    <n v="7.2307057366900546E-2"/>
    <n v="15071.498999999998"/>
    <n v="12370.068999999998"/>
    <s v="OK"/>
    <x v="5"/>
    <s v="Hohoe"/>
  </r>
  <r>
    <s v="F0005"/>
    <d v="2026-01-02T00:00:00"/>
    <s v="D03"/>
    <s v="C04"/>
    <n v="2.2999999999999998"/>
    <n v="7504.9"/>
    <n v="1160.9000000000001"/>
    <n v="6344"/>
    <s v="Processor"/>
    <n v="8.5399999999999991"/>
    <n v="4117.1099999999997"/>
    <n v="3263"/>
    <n v="0.1546856054044691"/>
    <n v="54177.759999999995"/>
    <n v="50060.649999999994"/>
    <s v="OK"/>
    <x v="3"/>
    <s v="Tamale Metro"/>
  </r>
  <r>
    <s v="F0211"/>
    <d v="2026-02-22T00:00:00"/>
    <s v="D03"/>
    <s v="C04"/>
    <n v="3.7"/>
    <n v="22498.1"/>
    <n v="2339"/>
    <n v="20159.099999999999"/>
    <s v="Wholesaler"/>
    <n v="8.58"/>
    <n v="3231.42"/>
    <n v="6080.5675675675666"/>
    <n v="0.10396433476604691"/>
    <n v="172965.07799999998"/>
    <n v="169733.65799999997"/>
    <s v="OK"/>
    <x v="3"/>
    <s v="Tamale Metro"/>
  </r>
  <r>
    <s v="F0219"/>
    <d v="2026-06-29T00:00:00"/>
    <s v="D02"/>
    <s v="C05"/>
    <n v="2.4"/>
    <n v="4295"/>
    <n v="605.29999999999995"/>
    <n v="3689.7"/>
    <s v="Local Market"/>
    <n v="4.01"/>
    <n v="3610.08"/>
    <n v="1789.5833333333335"/>
    <n v="0.14093131548311991"/>
    <n v="14795.696999999998"/>
    <n v="11185.616999999998"/>
    <s v="OK"/>
    <x v="5"/>
    <s v="Techiman"/>
  </r>
  <r>
    <s v="F0196"/>
    <d v="2026-03-01T00:00:00"/>
    <s v="D03"/>
    <s v="C03"/>
    <n v="1.5"/>
    <n v="7443.7"/>
    <n v="1081.2"/>
    <n v="6362.5"/>
    <s v="Farm Gate"/>
    <n v="6.27"/>
    <n v="2138.5100000000002"/>
    <n v="4962.4666666666662"/>
    <n v="0.1452503459301154"/>
    <n v="39892.875"/>
    <n v="37754.364999999998"/>
    <s v="OK"/>
    <x v="1"/>
    <s v="Tamale Metro"/>
  </r>
  <r>
    <s v="F0102"/>
    <d v="2026-05-30T00:00:00"/>
    <s v="D05"/>
    <s v="C01"/>
    <n v="2.2999999999999998"/>
    <n v="3526.5"/>
    <n v="338.2"/>
    <n v="3188.3"/>
    <s v="Farm Gate"/>
    <n v="3.83"/>
    <n v="2407.37"/>
    <n v="1533.2608695652175"/>
    <n v="9.590245285694031E-2"/>
    <n v="12211.189"/>
    <n v="9803.8189999999995"/>
    <s v="OK"/>
    <x v="0"/>
    <s v="Hohoe"/>
  </r>
  <r>
    <s v="F0131"/>
    <d v="2026-02-24T00:00:00"/>
    <s v="D05"/>
    <s v="C03"/>
    <n v="9.6999999999999993"/>
    <n v="83934.399999999994"/>
    <n v="4245.3999999999996"/>
    <n v="79689"/>
    <s v="Wholesaler"/>
    <n v="7.72"/>
    <n v="10266.15"/>
    <n v="8653.0309278350524"/>
    <n v="5.0579976743742733E-2"/>
    <n v="615199.07999999996"/>
    <n v="604932.92999999993"/>
    <s v="OK"/>
    <x v="1"/>
    <s v="Hohoe"/>
  </r>
  <r>
    <s v="F0142"/>
    <d v="2025-08-18T00:00:00"/>
    <s v="D01"/>
    <s v="C02"/>
    <n v="13.4"/>
    <n v="26146.400000000001"/>
    <n v="3004.6"/>
    <n v="23141.8"/>
    <s v="Local Market"/>
    <n v="6"/>
    <n v="13842.68"/>
    <n v="1951.2238805970151"/>
    <n v="0.11491448153474282"/>
    <n v="138850.79999999999"/>
    <n v="125008.12"/>
    <s v="OK"/>
    <x v="2"/>
    <s v="Ejura"/>
  </r>
  <r>
    <s v="F0139"/>
    <d v="2025-09-02T00:00:00"/>
    <s v="D03"/>
    <s v="C06"/>
    <n v="4.5"/>
    <n v="34818.400000000001"/>
    <n v="864.6"/>
    <n v="33953.800000000003"/>
    <s v="Processor"/>
    <n v="2.82"/>
    <n v="5798.14"/>
    <n v="7737.4222222222224"/>
    <n v="2.4831698182570135E-2"/>
    <n v="95749.716"/>
    <n v="89951.576000000001"/>
    <s v="OK"/>
    <x v="4"/>
    <s v="Tamale Metro"/>
  </r>
  <r>
    <s v="F0138"/>
    <d v="2026-05-02T00:00:00"/>
    <s v="D01"/>
    <s v="C01"/>
    <n v="10.6"/>
    <n v="15774.9"/>
    <n v="2519.6"/>
    <n v="13255.3"/>
    <s v="Wholesaler"/>
    <n v="3.55"/>
    <n v="18034.37"/>
    <n v="1488.1981132075473"/>
    <n v="0.15972209015588054"/>
    <n v="47056.314999999995"/>
    <n v="29021.944999999996"/>
    <s v="OK"/>
    <x v="0"/>
    <s v="Ejura"/>
  </r>
  <r>
    <s v="F0017"/>
    <d v="2025-10-09T00:00:00"/>
    <s v="D02"/>
    <s v="C02"/>
    <n v="2"/>
    <n v="4260.1000000000004"/>
    <n v="125.1"/>
    <n v="4135"/>
    <s v="Farm Gate"/>
    <n v="5.27"/>
    <n v="3451.76"/>
    <n v="2130.0500000000002"/>
    <n v="2.9365507851928353E-2"/>
    <n v="21791.449999999997"/>
    <n v="18339.689999999995"/>
    <s v="OK"/>
    <x v="2"/>
    <s v="Techiman"/>
  </r>
  <r>
    <s v="F0151"/>
    <d v="2025-12-21T00:00:00"/>
    <s v="D05"/>
    <s v="C03"/>
    <n v="14.2"/>
    <n v="136418.4"/>
    <n v="4916.8999999999996"/>
    <n v="131501.5"/>
    <s v="Wholesaler"/>
    <n v="6.04"/>
    <n v="11506.27"/>
    <n v="9606.929577464789"/>
    <n v="3.604279188144708E-2"/>
    <n v="794269.06"/>
    <n v="782762.79"/>
    <s v="OK"/>
    <x v="1"/>
    <s v="Hohoe"/>
  </r>
  <r>
    <s v="F0173"/>
    <d v="2026-03-21T00:00:00"/>
    <s v="D01"/>
    <s v="C01"/>
    <n v="2.1"/>
    <n v="4362.7"/>
    <n v="674.7"/>
    <n v="3688"/>
    <s v="Processor"/>
    <n v="3.54"/>
    <n v="2994.66"/>
    <n v="2077.4761904761904"/>
    <n v="0.15465193572787495"/>
    <n v="13055.52"/>
    <n v="10060.86"/>
    <s v="OK"/>
    <x v="0"/>
    <s v="Eju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F0128"/>
    <d v="2025-07-15T00:00:00"/>
    <s v="D03"/>
    <s v="C01"/>
    <n v="10.5"/>
    <n v="21319.7"/>
    <n v="2059.4"/>
    <n v="19260.3"/>
    <s v="Wholesaler"/>
    <n v="3.44"/>
    <n v="15514.19"/>
    <n v="2030.4476190476191"/>
    <n v="9.6596105948958011E-2"/>
    <n v="66255.432000000001"/>
    <n v="50741.241999999998"/>
    <s v="OK"/>
    <x v="0"/>
    <x v="0"/>
  </r>
  <r>
    <s v="F0174"/>
    <d v="2025-07-18T00:00:00"/>
    <s v="D05"/>
    <s v="C03"/>
    <n v="8.9"/>
    <n v="85227.8"/>
    <n v="6234.1"/>
    <n v="78993.7"/>
    <s v="Processor"/>
    <n v="7.38"/>
    <n v="9897.9"/>
    <n v="9576.1573033707864"/>
    <n v="7.3146320801428646E-2"/>
    <n v="582973.50599999994"/>
    <n v="573075.60599999991"/>
    <s v="OK"/>
    <x v="1"/>
    <x v="1"/>
  </r>
  <r>
    <s v="F0109"/>
    <d v="2025-07-31T00:00:00"/>
    <s v="D04"/>
    <s v="C02"/>
    <n v="14.6"/>
    <n v="23614.400000000001"/>
    <n v="1146.9000000000001"/>
    <n v="22467.5"/>
    <s v="Processor"/>
    <n v="5.0199999999999996"/>
    <n v="13966.62"/>
    <n v="1617.4246575342468"/>
    <n v="4.8567823023240059E-2"/>
    <n v="112786.84999999999"/>
    <n v="98820.23"/>
    <s v="OK"/>
    <x v="2"/>
    <x v="2"/>
  </r>
  <r>
    <s v="F0186"/>
    <d v="2025-08-05T00:00:00"/>
    <s v="D03"/>
    <s v="C04"/>
    <n v="5.3"/>
    <n v="23649.200000000001"/>
    <n v="561.9"/>
    <n v="23087.3"/>
    <s v="Farm Gate"/>
    <n v="10.29"/>
    <n v="6689.27"/>
    <n v="4462.1132075471705"/>
    <n v="2.375978891463559E-2"/>
    <n v="237568.31699999998"/>
    <n v="230879.04699999999"/>
    <s v="OK"/>
    <x v="3"/>
    <x v="0"/>
  </r>
  <r>
    <s v="F0162"/>
    <d v="2025-11-06T00:00:00"/>
    <s v="D05"/>
    <s v="C03"/>
    <n v="6.5"/>
    <n v="35848.5"/>
    <n v="2534"/>
    <n v="33314.5"/>
    <s v="Processor"/>
    <n v="6.85"/>
    <n v="9552.4"/>
    <n v="5515.1538461538457"/>
    <n v="7.0686360656652306E-2"/>
    <n v="228204.32499999998"/>
    <n v="218651.92499999999"/>
    <s v="OK"/>
    <x v="1"/>
    <x v="1"/>
  </r>
  <r>
    <s v="F0166"/>
    <d v="2025-09-02T00:00:00"/>
    <s v="D01"/>
    <s v="C06"/>
    <n v="10.7"/>
    <n v="65606.600000000006"/>
    <n v="5542.3"/>
    <n v="60064.3"/>
    <s v="Processor"/>
    <n v="2.16"/>
    <n v="14864.02"/>
    <n v="6131.4579439252348"/>
    <n v="8.4477781198842791E-2"/>
    <n v="129738.88800000002"/>
    <n v="114874.86800000002"/>
    <s v="OK"/>
    <x v="4"/>
    <x v="3"/>
  </r>
  <r>
    <s v="F0193"/>
    <d v="2026-01-24T00:00:00"/>
    <s v="D03"/>
    <s v="C03"/>
    <n v="2.6"/>
    <n v="19136.5"/>
    <n v="2597.1999999999998"/>
    <n v="16539.3"/>
    <s v="Farm Gate"/>
    <n v="7.45"/>
    <n v="2771.29"/>
    <n v="7360.1923076923076"/>
    <n v="0.13571969795939695"/>
    <n v="123217.785"/>
    <n v="120446.49500000001"/>
    <s v="OK"/>
    <x v="1"/>
    <x v="0"/>
  </r>
  <r>
    <s v="F0066"/>
    <d v="2025-09-11T00:00:00"/>
    <s v="D05"/>
    <s v="C02"/>
    <n v="14.3"/>
    <n v="38915.4"/>
    <n v="3453.4"/>
    <n v="35462"/>
    <s v="Wholesaler"/>
    <n v="5.31"/>
    <n v="11122.26"/>
    <n v="2721.3566433566434"/>
    <n v="8.874121812958366E-2"/>
    <n v="188303.21999999997"/>
    <n v="177180.95999999996"/>
    <s v="OK"/>
    <x v="2"/>
    <x v="1"/>
  </r>
  <r>
    <s v="F0054"/>
    <d v="2026-01-26T00:00:00"/>
    <s v="D02"/>
    <s v="C04"/>
    <n v="1.9"/>
    <n v="8780.2999999999993"/>
    <n v="511.5"/>
    <n v="8268.7999999999993"/>
    <s v="Farm Gate"/>
    <n v="8.15"/>
    <n v="2517.2399999999998"/>
    <n v="4621.2105263157891"/>
    <n v="5.8255412685215772E-2"/>
    <n v="67390.720000000001"/>
    <n v="64873.48"/>
    <s v="OK"/>
    <x v="3"/>
    <x v="4"/>
  </r>
  <r>
    <s v="F0007"/>
    <d v="2025-09-20T00:00:00"/>
    <s v="D02"/>
    <s v="C04"/>
    <n v="5.6"/>
    <n v="30015.3"/>
    <n v="2728.7"/>
    <n v="27286.6"/>
    <s v="Local Market"/>
    <n v="9.68"/>
    <n v="4086.39"/>
    <n v="5359.875"/>
    <n v="9.091030241243632E-2"/>
    <n v="264134.288"/>
    <n v="260047.89799999999"/>
    <s v="OK"/>
    <x v="3"/>
    <x v="4"/>
  </r>
  <r>
    <s v="F0033"/>
    <d v="2026-05-04T00:00:00"/>
    <s v="D01"/>
    <s v="C05"/>
    <n v="3.3"/>
    <n v="3500.2"/>
    <n v="252.2"/>
    <n v="3248"/>
    <s v="Local Market"/>
    <n v="4.55"/>
    <n v="5777.89"/>
    <n v="1060.6666666666667"/>
    <n v="7.2053025541397642E-2"/>
    <n v="14778.4"/>
    <n v="9000.5099999999984"/>
    <s v="OK"/>
    <x v="5"/>
    <x v="3"/>
  </r>
  <r>
    <s v="F0093"/>
    <d v="2025-10-18T00:00:00"/>
    <s v="D05"/>
    <s v="C02"/>
    <n v="7.2"/>
    <n v="19481.8"/>
    <n v="2064.3000000000002"/>
    <n v="17417.5"/>
    <s v="Farm Gate"/>
    <n v="6.95"/>
    <n v="10411.07"/>
    <n v="2705.8055555555552"/>
    <n v="0.10596043486741473"/>
    <n v="121051.625"/>
    <n v="110640.55499999999"/>
    <s v="OK"/>
    <x v="2"/>
    <x v="1"/>
  </r>
  <r>
    <s v="F0176"/>
    <d v="2025-07-29T00:00:00"/>
    <s v="D03"/>
    <s v="C03"/>
    <n v="10.7"/>
    <n v="107180.5"/>
    <n v="8191.9"/>
    <n v="98988.6"/>
    <s v="Farm Gate"/>
    <n v="7.72"/>
    <n v="17232.07"/>
    <n v="10016.869158878506"/>
    <n v="7.6430880617276459E-2"/>
    <n v="764191.99199999997"/>
    <n v="746959.92200000002"/>
    <s v="OK"/>
    <x v="1"/>
    <x v="0"/>
  </r>
  <r>
    <s v="F0213"/>
    <d v="2026-03-02T00:00:00"/>
    <s v="D02"/>
    <s v="C05"/>
    <n v="12"/>
    <n v="21845.4"/>
    <n v="1774.4"/>
    <n v="20071"/>
    <s v="Local Market"/>
    <n v="4.21"/>
    <n v="18488.91"/>
    <n v="1820.45"/>
    <n v="8.1225338057440005E-2"/>
    <n v="84498.91"/>
    <n v="66010"/>
    <s v="OK"/>
    <x v="5"/>
    <x v="4"/>
  </r>
  <r>
    <s v="F0172"/>
    <d v="2026-04-02T00:00:00"/>
    <s v="D05"/>
    <s v="C02"/>
    <n v="2.1"/>
    <n v="3757.2"/>
    <n v="552.70000000000005"/>
    <n v="3204.5"/>
    <s v="Local Market"/>
    <n v="5.31"/>
    <n v="3041.08"/>
    <n v="1789.1428571428569"/>
    <n v="0.14710422655168745"/>
    <n v="17015.895"/>
    <n v="13974.815000000001"/>
    <s v="OK"/>
    <x v="2"/>
    <x v="1"/>
  </r>
  <r>
    <s v="F0164"/>
    <d v="2025-10-31T00:00:00"/>
    <s v="D02"/>
    <s v="C02"/>
    <n v="2.2000000000000002"/>
    <n v="5789.3"/>
    <n v="563.29999999999995"/>
    <n v="5226"/>
    <s v="Processor"/>
    <n v="5.96"/>
    <n v="2220.58"/>
    <n v="2631.5"/>
    <n v="9.7300191733024705E-2"/>
    <n v="31146.959999999999"/>
    <n v="28926.379999999997"/>
    <s v="OK"/>
    <x v="2"/>
    <x v="4"/>
  </r>
  <r>
    <s v="F0042"/>
    <d v="2026-02-04T00:00:00"/>
    <s v="D04"/>
    <s v="C03"/>
    <n v="13.6"/>
    <n v="115504.3"/>
    <n v="16132.6"/>
    <n v="99371.7"/>
    <s v="Farm Gate"/>
    <n v="7.63"/>
    <n v="20302.55"/>
    <n v="8492.9632352941189"/>
    <n v="0.13967099060381302"/>
    <n v="758206.071"/>
    <n v="737903.52099999995"/>
    <s v="OK"/>
    <x v="1"/>
    <x v="2"/>
  </r>
  <r>
    <s v="F0136"/>
    <d v="2025-07-24T00:00:00"/>
    <s v="D01"/>
    <s v="C03"/>
    <n v="12.9"/>
    <n v="92115.3"/>
    <n v="2849.8"/>
    <n v="89265.5"/>
    <s v="Processor"/>
    <n v="5.91"/>
    <n v="15299.64"/>
    <n v="7140.7209302325582"/>
    <n v="3.0937314430936013E-2"/>
    <n v="527559.10499999998"/>
    <n v="512259.46499999997"/>
    <s v="OK"/>
    <x v="1"/>
    <x v="3"/>
  </r>
  <r>
    <s v="F0190"/>
    <d v="2026-02-07T00:00:00"/>
    <s v="D03"/>
    <s v="C05"/>
    <n v="7.8"/>
    <n v="12493.9"/>
    <n v="441.2"/>
    <n v="12052.7"/>
    <s v="Processor"/>
    <n v="4.87"/>
    <n v="12082.17"/>
    <n v="1601.7820512820513"/>
    <n v="3.5313232857634526E-2"/>
    <n v="58696.649000000005"/>
    <n v="46614.479000000007"/>
    <s v="OK"/>
    <x v="5"/>
    <x v="0"/>
  </r>
  <r>
    <s v="F0002"/>
    <d v="2025-07-10T00:00:00"/>
    <s v="D01"/>
    <s v="C05"/>
    <n v="6.7"/>
    <n v="13190.3"/>
    <n v="439.3"/>
    <n v="12751"/>
    <s v="Wholesaler"/>
    <n v="5.22"/>
    <n v="5008.09"/>
    <n v="1968.7014925373132"/>
    <n v="3.3304776995216182E-2"/>
    <n v="66560.22"/>
    <n v="61552.130000000005"/>
    <s v="OK"/>
    <x v="5"/>
    <x v="3"/>
  </r>
  <r>
    <s v="F0038"/>
    <d v="2026-04-12T00:00:00"/>
    <s v="D05"/>
    <s v="C04"/>
    <n v="3.8"/>
    <n v="19524.8"/>
    <n v="2536.8000000000002"/>
    <n v="16988"/>
    <s v="Farm Gate"/>
    <n v="8.31"/>
    <n v="6059.77"/>
    <n v="5138.105263157895"/>
    <n v="0.12992706711464394"/>
    <n v="141170.28"/>
    <n v="135110.51"/>
    <s v="OK"/>
    <x v="3"/>
    <x v="1"/>
  </r>
  <r>
    <s v="F0092"/>
    <d v="2026-06-06T00:00:00"/>
    <s v="D04"/>
    <s v="C06"/>
    <n v="7"/>
    <n v="53598.9"/>
    <n v="4311.7"/>
    <n v="49287.199999999997"/>
    <s v="Farm Gate"/>
    <n v="2.69"/>
    <n v="6886.83"/>
    <n v="7656.9857142857145"/>
    <n v="8.0443815078294512E-2"/>
    <n v="132582.568"/>
    <n v="125695.738"/>
    <s v="OK"/>
    <x v="4"/>
    <x v="2"/>
  </r>
  <r>
    <s v="F0154"/>
    <d v="2025-12-27T00:00:00"/>
    <s v="D05"/>
    <s v="C06"/>
    <n v="7.3"/>
    <n v="56037.4"/>
    <n v="7311.7"/>
    <n v="48725.7"/>
    <s v="Processor"/>
    <n v="2.27"/>
    <n v="8292.6200000000008"/>
    <n v="7676.3561643835619"/>
    <n v="0.13047893014308301"/>
    <n v="110607.33899999999"/>
    <n v="102314.719"/>
    <s v="OK"/>
    <x v="4"/>
    <x v="1"/>
  </r>
  <r>
    <s v="F0140"/>
    <d v="2025-08-25T00:00:00"/>
    <s v="D03"/>
    <s v="C02"/>
    <n v="8.5"/>
    <n v="20220.900000000001"/>
    <n v="1942.1"/>
    <n v="18278.8"/>
    <s v="Processor"/>
    <n v="6.82"/>
    <n v="13626.91"/>
    <n v="2378.9294117647059"/>
    <n v="9.6044191900459416E-2"/>
    <n v="124661.416"/>
    <n v="111034.50599999999"/>
    <s v="OK"/>
    <x v="2"/>
    <x v="0"/>
  </r>
  <r>
    <s v="F0064"/>
    <d v="2026-01-27T00:00:00"/>
    <s v="D03"/>
    <s v="C01"/>
    <n v="8.9"/>
    <n v="14528.1"/>
    <n v="1525.2"/>
    <n v="13002.9"/>
    <s v="Local Market"/>
    <n v="3.79"/>
    <n v="12986.23"/>
    <n v="1632.370786516854"/>
    <n v="0.10498275755260496"/>
    <n v="49280.991000000002"/>
    <n v="36294.760999999999"/>
    <s v="OK"/>
    <x v="0"/>
    <x v="0"/>
  </r>
  <r>
    <s v="F0012"/>
    <d v="2026-04-19T00:00:00"/>
    <s v="D04"/>
    <s v="C01"/>
    <n v="15"/>
    <n v="29249.8"/>
    <n v="1250.8"/>
    <n v="27999"/>
    <s v="Wholesaler"/>
    <n v="2.99"/>
    <n v="12276.47"/>
    <n v="1949.9866666666667"/>
    <n v="4.2762685556824317E-2"/>
    <n v="83717.010000000009"/>
    <n v="71440.540000000008"/>
    <s v="OK"/>
    <x v="0"/>
    <x v="2"/>
  </r>
  <r>
    <s v="F0098"/>
    <d v="2025-12-22T00:00:00"/>
    <s v="D02"/>
    <s v="C02"/>
    <n v="6"/>
    <n v="11042.2"/>
    <n v="863.5"/>
    <n v="10178.700000000001"/>
    <s v="Local Market"/>
    <n v="4.97"/>
    <n v="5788.26"/>
    <n v="1840.3666666666668"/>
    <n v="7.8199996377533457E-2"/>
    <n v="50588.139000000003"/>
    <n v="44799.879000000001"/>
    <s v="OK"/>
    <x v="2"/>
    <x v="4"/>
  </r>
  <r>
    <s v="F0063"/>
    <d v="2026-01-22T00:00:00"/>
    <s v="D03"/>
    <s v="C02"/>
    <n v="12.9"/>
    <n v="26760"/>
    <n v="3173.3"/>
    <n v="23586.7"/>
    <s v="Farm Gate"/>
    <n v="6.48"/>
    <n v="15846.65"/>
    <n v="2074.4186046511627"/>
    <n v="0.11858370702541107"/>
    <n v="152841.81600000002"/>
    <n v="136995.16600000003"/>
    <s v="OK"/>
    <x v="2"/>
    <x v="0"/>
  </r>
  <r>
    <s v="F0049"/>
    <d v="2026-05-11T00:00:00"/>
    <s v="D05"/>
    <s v="C05"/>
    <n v="13.4"/>
    <n v="14163.1"/>
    <n v="2072.1"/>
    <n v="12091"/>
    <s v="Wholesaler"/>
    <n v="5.36"/>
    <n v="12492.51"/>
    <n v="1056.9477611940299"/>
    <n v="0.14630271621325838"/>
    <n v="64807.76"/>
    <n v="52315.25"/>
    <s v="OK"/>
    <x v="5"/>
    <x v="1"/>
  </r>
  <r>
    <s v="F0143"/>
    <d v="2025-09-12T00:00:00"/>
    <s v="D03"/>
    <s v="C04"/>
    <n v="1.9"/>
    <n v="12182.2"/>
    <n v="910"/>
    <n v="11272.2"/>
    <s v="Wholesaler"/>
    <n v="9.7799999999999994"/>
    <n v="1926.57"/>
    <n v="6411.6842105263167"/>
    <n v="7.4699151220633378E-2"/>
    <n v="110242.11599999999"/>
    <n v="108315.54599999999"/>
    <s v="OK"/>
    <x v="3"/>
    <x v="0"/>
  </r>
  <r>
    <s v="F0114"/>
    <d v="2026-06-28T00:00:00"/>
    <s v="D01"/>
    <s v="C06"/>
    <n v="4.7"/>
    <n v="32979.9"/>
    <n v="1452.6"/>
    <n v="31527.3"/>
    <s v="Processor"/>
    <n v="2.73"/>
    <n v="3441.09"/>
    <n v="7017"/>
    <n v="4.4045009232896393E-2"/>
    <n v="86069.528999999995"/>
    <n v="82628.438999999998"/>
    <s v="OK"/>
    <x v="4"/>
    <x v="3"/>
  </r>
  <r>
    <s v="F0140"/>
    <d v="2025-07-19T00:00:00"/>
    <s v="D01"/>
    <s v="C06"/>
    <n v="7.8"/>
    <n v="35529.199999999997"/>
    <n v="2377.6"/>
    <n v="33151.599999999999"/>
    <s v="Processor"/>
    <n v="2.54"/>
    <n v="11431.77"/>
    <n v="4555.0256410256407"/>
    <n v="6.6919604156581075E-2"/>
    <n v="84205.063999999998"/>
    <n v="72773.293999999994"/>
    <s v="OK"/>
    <x v="4"/>
    <x v="3"/>
  </r>
  <r>
    <s v="F0057"/>
    <d v="2025-12-20T00:00:00"/>
    <s v="D05"/>
    <s v="C05"/>
    <n v="10.3"/>
    <n v="13728.5"/>
    <n v="434.1"/>
    <n v="13294.4"/>
    <s v="Farm Gate"/>
    <n v="5.23"/>
    <n v="12199.7"/>
    <n v="1332.8640776699028"/>
    <n v="3.1620351822850279E-2"/>
    <n v="69529.712"/>
    <n v="57330.012000000002"/>
    <s v="OK"/>
    <x v="5"/>
    <x v="1"/>
  </r>
  <r>
    <s v="F0205"/>
    <d v="2026-01-04T00:00:00"/>
    <s v="D03"/>
    <s v="C06"/>
    <n v="8.1"/>
    <n v="32729.599999999999"/>
    <n v="1801.9"/>
    <n v="30927.7"/>
    <s v="Farm Gate"/>
    <n v="2.19"/>
    <n v="6146.74"/>
    <n v="4040.6913580246915"/>
    <n v="5.5054140594446625E-2"/>
    <n v="67731.663"/>
    <n v="61584.923000000003"/>
    <s v="OK"/>
    <x v="4"/>
    <x v="0"/>
  </r>
  <r>
    <s v="F0107"/>
    <d v="2025-07-07T00:00:00"/>
    <s v="D04"/>
    <s v="C02"/>
    <n v="5"/>
    <n v="9246.7000000000007"/>
    <n v="711"/>
    <n v="8535.7000000000007"/>
    <s v="Farm Gate"/>
    <n v="5.25"/>
    <n v="8339.42"/>
    <n v="1849.3400000000001"/>
    <n v="7.6892296711259148E-2"/>
    <n v="44812.425000000003"/>
    <n v="36473.005000000005"/>
    <s v="OK"/>
    <x v="2"/>
    <x v="2"/>
  </r>
  <r>
    <s v="F0147"/>
    <d v="2025-08-16T00:00:00"/>
    <s v="D04"/>
    <s v="C05"/>
    <n v="10.3"/>
    <n v="19790.099999999999"/>
    <n v="1470.3"/>
    <n v="18319.8"/>
    <s v="Processor"/>
    <n v="4.3600000000000003"/>
    <n v="15824.81"/>
    <n v="1921.3689320388346"/>
    <n v="7.4294723119135334E-2"/>
    <n v="79874.328000000009"/>
    <n v="64049.518000000011"/>
    <s v="OK"/>
    <x v="5"/>
    <x v="2"/>
  </r>
  <r>
    <s v="F0181"/>
    <d v="2025-10-15T00:00:00"/>
    <s v="D01"/>
    <s v="C05"/>
    <n v="11.9"/>
    <n v="12507.4"/>
    <n v="556.79999999999995"/>
    <n v="11950.6"/>
    <s v="Local Market"/>
    <n v="5.12"/>
    <n v="8108.69"/>
    <n v="1051.0420168067226"/>
    <n v="4.4517645553832128E-2"/>
    <n v="61187.072"/>
    <n v="53078.381999999998"/>
    <s v="OK"/>
    <x v="5"/>
    <x v="3"/>
  </r>
  <r>
    <s v="F0188"/>
    <d v="2025-08-09T00:00:00"/>
    <s v="D04"/>
    <s v="C01"/>
    <n v="12"/>
    <n v="15728.1"/>
    <n v="1013.9"/>
    <n v="14714.2"/>
    <s v="Processor"/>
    <n v="2.73"/>
    <n v="15109.5"/>
    <n v="1310.675"/>
    <n v="6.446423916429829E-2"/>
    <n v="40169.766000000003"/>
    <n v="25060.266000000003"/>
    <s v="OK"/>
    <x v="0"/>
    <x v="2"/>
  </r>
  <r>
    <s v="F0073"/>
    <d v="2025-10-20T00:00:00"/>
    <s v="D02"/>
    <s v="C01"/>
    <n v="13.4"/>
    <n v="23211.599999999999"/>
    <n v="2893.1"/>
    <n v="20318.5"/>
    <s v="Processor"/>
    <n v="2.95"/>
    <n v="20095.439999999999"/>
    <n v="1732.2089552238804"/>
    <n v="0.12464026607385963"/>
    <n v="59939.575000000004"/>
    <n v="39844.135000000009"/>
    <s v="OK"/>
    <x v="0"/>
    <x v="4"/>
  </r>
  <r>
    <s v="F0220"/>
    <d v="2025-11-30T00:00:00"/>
    <s v="D03"/>
    <s v="C02"/>
    <n v="9.9"/>
    <n v="17039.400000000001"/>
    <n v="1144.2"/>
    <n v="15895.2"/>
    <s v="Wholesaler"/>
    <n v="6.54"/>
    <n v="16321.46"/>
    <n v="1721.1515151515152"/>
    <n v="6.7150251769428501E-2"/>
    <n v="103954.60800000001"/>
    <n v="87633.148000000016"/>
    <s v="OK"/>
    <x v="2"/>
    <x v="0"/>
  </r>
  <r>
    <s v="F0125"/>
    <d v="2026-01-26T00:00:00"/>
    <s v="D01"/>
    <s v="C06"/>
    <n v="14.8"/>
    <n v="96602.5"/>
    <n v="14579.7"/>
    <n v="82022.8"/>
    <s v="Local Market"/>
    <n v="2.54"/>
    <n v="13777.98"/>
    <n v="6527.1959459459458"/>
    <n v="0.15092466551072695"/>
    <n v="208337.91200000001"/>
    <n v="194559.932"/>
    <s v="OK"/>
    <x v="4"/>
    <x v="3"/>
  </r>
  <r>
    <s v="F0093"/>
    <d v="2026-05-09T00:00:00"/>
    <s v="D02"/>
    <s v="C03"/>
    <n v="10.199999999999999"/>
    <n v="71903.399999999994"/>
    <n v="6902.9"/>
    <n v="65000.5"/>
    <s v="Farm Gate"/>
    <n v="7"/>
    <n v="12168.69"/>
    <n v="7049.3529411764703"/>
    <n v="9.6002414350364523E-2"/>
    <n v="455003.5"/>
    <n v="442834.81"/>
    <s v="OK"/>
    <x v="1"/>
    <x v="4"/>
  </r>
  <r>
    <s v="F0165"/>
    <d v="2026-01-29T00:00:00"/>
    <s v="D04"/>
    <s v="C05"/>
    <n v="14.7"/>
    <n v="28520.1"/>
    <n v="3960"/>
    <n v="24560.1"/>
    <s v="Wholesaler"/>
    <n v="4.5"/>
    <n v="23654.05"/>
    <n v="1940.1428571428571"/>
    <n v="0.13884944302439334"/>
    <n v="110520.45"/>
    <n v="86866.4"/>
    <s v="OK"/>
    <x v="5"/>
    <x v="2"/>
  </r>
  <r>
    <s v="F0054"/>
    <d v="2026-03-13T00:00:00"/>
    <s v="D02"/>
    <s v="C03"/>
    <n v="12.6"/>
    <n v="88116.1"/>
    <n v="10493.9"/>
    <n v="77622.2"/>
    <s v="Farm Gate"/>
    <n v="6.19"/>
    <n v="22479.17"/>
    <n v="6993.3412698412703"/>
    <n v="0.11909174373355152"/>
    <n v="480481.41800000001"/>
    <n v="458002.24800000002"/>
    <s v="OK"/>
    <x v="1"/>
    <x v="4"/>
  </r>
  <r>
    <s v="F0083"/>
    <d v="2026-01-14T00:00:00"/>
    <s v="D04"/>
    <s v="C01"/>
    <n v="7.8"/>
    <n v="9282.1"/>
    <n v="519.29999999999995"/>
    <n v="8762.7999999999993"/>
    <s v="Farm Gate"/>
    <n v="3.58"/>
    <n v="12499.58"/>
    <n v="1190.0128205128206"/>
    <n v="5.5946391441591872E-2"/>
    <n v="31370.823999999997"/>
    <n v="18871.243999999999"/>
    <s v="OK"/>
    <x v="0"/>
    <x v="2"/>
  </r>
  <r>
    <s v="F0049"/>
    <d v="2026-05-03T00:00:00"/>
    <s v="D05"/>
    <s v="C05"/>
    <n v="9.4"/>
    <n v="12288.5"/>
    <n v="1562.8"/>
    <n v="10725.7"/>
    <s v="Wholesaler"/>
    <n v="5.34"/>
    <n v="15614.01"/>
    <n v="1307.2872340425531"/>
    <n v="0.1271758147861822"/>
    <n v="57275.238000000005"/>
    <n v="41661.228000000003"/>
    <s v="OK"/>
    <x v="5"/>
    <x v="1"/>
  </r>
  <r>
    <s v="F0052"/>
    <d v="2026-04-04T00:00:00"/>
    <s v="D05"/>
    <s v="C01"/>
    <n v="14.7"/>
    <n v="35237.1"/>
    <n v="3896.2"/>
    <n v="31340.9"/>
    <s v="Wholesaler"/>
    <n v="2.92"/>
    <n v="17264.919999999998"/>
    <n v="2397.0816326530612"/>
    <n v="0.1105709607203771"/>
    <n v="91515.428"/>
    <n v="74250.508000000002"/>
    <s v="OK"/>
    <x v="0"/>
    <x v="1"/>
  </r>
  <r>
    <s v="F0030"/>
    <d v="2025-11-03T00:00:00"/>
    <s v="D01"/>
    <s v="C05"/>
    <n v="2.7"/>
    <n v="4689.6000000000004"/>
    <n v="446.2"/>
    <n v="4243.3999999999996"/>
    <s v="Local Market"/>
    <n v="4.03"/>
    <n v="3826.38"/>
    <n v="1736.8888888888889"/>
    <n v="9.514670760832479E-2"/>
    <n v="17100.901999999998"/>
    <n v="13274.521999999997"/>
    <s v="OK"/>
    <x v="5"/>
    <x v="3"/>
  </r>
  <r>
    <s v="F0022"/>
    <d v="2026-06-08T00:00:00"/>
    <s v="D02"/>
    <s v="C02"/>
    <n v="1.4"/>
    <n v="3458.5"/>
    <n v="529.29999999999995"/>
    <n v="2929.2"/>
    <s v="Farm Gate"/>
    <n v="5.73"/>
    <n v="1696.07"/>
    <n v="2470.3571428571431"/>
    <n v="0.15304322683244179"/>
    <n v="16784.315999999999"/>
    <n v="15088.245999999999"/>
    <s v="OK"/>
    <x v="2"/>
    <x v="4"/>
  </r>
  <r>
    <s v="F0170"/>
    <d v="2025-07-28T00:00:00"/>
    <s v="D04"/>
    <s v="C01"/>
    <n v="11.4"/>
    <n v="16399.7"/>
    <n v="1133.5"/>
    <n v="15266.2"/>
    <s v="Farm Gate"/>
    <n v="3.16"/>
    <n v="9250.7900000000009"/>
    <n v="1438.5701754385966"/>
    <n v="6.9117117996060906E-2"/>
    <n v="48241.192000000003"/>
    <n v="38990.402000000002"/>
    <s v="OK"/>
    <x v="0"/>
    <x v="2"/>
  </r>
  <r>
    <s v="F0039"/>
    <d v="2025-07-20T00:00:00"/>
    <s v="D02"/>
    <s v="C02"/>
    <n v="7.5"/>
    <n v="14758.8"/>
    <n v="2198.6"/>
    <n v="12560.2"/>
    <s v="Local Market"/>
    <n v="6.59"/>
    <n v="8238.25"/>
    <n v="1967.84"/>
    <n v="0.14896875084695232"/>
    <n v="82771.718000000008"/>
    <n v="74533.468000000008"/>
    <s v="OK"/>
    <x v="2"/>
    <x v="4"/>
  </r>
  <r>
    <s v="F0017"/>
    <d v="2026-05-18T00:00:00"/>
    <s v="D02"/>
    <s v="C05"/>
    <n v="10.4"/>
    <n v="13805.3"/>
    <n v="2144.6"/>
    <n v="11660.7"/>
    <s v="Processor"/>
    <n v="5.34"/>
    <n v="6785.53"/>
    <n v="1327.4326923076922"/>
    <n v="0.15534613517996712"/>
    <n v="62268.137999999999"/>
    <n v="55482.608"/>
    <s v="OK"/>
    <x v="5"/>
    <x v="4"/>
  </r>
  <r>
    <s v="F0004"/>
    <d v="2026-01-11T00:00:00"/>
    <s v="D03"/>
    <s v="C01"/>
    <n v="4.8"/>
    <n v="7109.2"/>
    <n v="407.3"/>
    <n v="6701.9"/>
    <s v="Farm Gate"/>
    <n v="3.8"/>
    <n v="8185.27"/>
    <n v="1481.0833333333333"/>
    <n v="5.7291959714173189E-2"/>
    <n v="25467.219999999998"/>
    <n v="17281.949999999997"/>
    <s v="OK"/>
    <x v="0"/>
    <x v="0"/>
  </r>
  <r>
    <s v="F0088"/>
    <d v="2026-03-14T00:00:00"/>
    <s v="D05"/>
    <s v="C05"/>
    <n v="13.5"/>
    <n v="27203.8"/>
    <n v="770.1"/>
    <n v="26433.7"/>
    <s v="Wholesaler"/>
    <n v="4.9400000000000004"/>
    <n v="16004.46"/>
    <n v="2015.0962962962963"/>
    <n v="2.8308545129724524E-2"/>
    <n v="130582.47800000002"/>
    <n v="114578.01800000001"/>
    <s v="OK"/>
    <x v="5"/>
    <x v="1"/>
  </r>
  <r>
    <s v="F0082"/>
    <d v="2026-06-30T00:00:00"/>
    <s v="D01"/>
    <s v="C03"/>
    <n v="2.5"/>
    <n v="18786.7"/>
    <n v="1786"/>
    <n v="17000.7"/>
    <s v="Local Market"/>
    <n v="6.85"/>
    <n v="3850.6"/>
    <n v="7514.68"/>
    <n v="9.5067255026162117E-2"/>
    <n v="116454.795"/>
    <n v="112604.19499999999"/>
    <s v="OK"/>
    <x v="1"/>
    <x v="3"/>
  </r>
  <r>
    <s v="F0123"/>
    <d v="2025-10-09T00:00:00"/>
    <s v="D04"/>
    <s v="C04"/>
    <n v="2.1"/>
    <n v="13412"/>
    <n v="478.2"/>
    <n v="12933.8"/>
    <s v="Local Market"/>
    <n v="8.1999999999999993"/>
    <n v="3010.88"/>
    <n v="6386.6666666666661"/>
    <n v="3.5654637637936179E-2"/>
    <n v="106057.15999999999"/>
    <n v="103046.27999999998"/>
    <s v="OK"/>
    <x v="3"/>
    <x v="2"/>
  </r>
  <r>
    <s v="F0035"/>
    <d v="2025-11-29T00:00:00"/>
    <s v="D04"/>
    <s v="C04"/>
    <n v="4.5999999999999996"/>
    <n v="23960.5"/>
    <n v="3347.8"/>
    <n v="20612.7"/>
    <s v="Farm Gate"/>
    <n v="9.44"/>
    <n v="7303.61"/>
    <n v="5208.804347826087"/>
    <n v="0.1397216251747668"/>
    <n v="194583.88800000001"/>
    <n v="187280.27800000002"/>
    <s v="OK"/>
    <x v="3"/>
    <x v="2"/>
  </r>
  <r>
    <s v="F0203"/>
    <d v="2026-02-14T00:00:00"/>
    <s v="D01"/>
    <s v="C02"/>
    <n v="3.4"/>
    <n v="9396.1"/>
    <n v="1133.3"/>
    <n v="8262.7999999999993"/>
    <s v="Farm Gate"/>
    <n v="6.87"/>
    <n v="2360.56"/>
    <n v="2763.5588235294122"/>
    <n v="0.12061387171273187"/>
    <n v="56765.435999999994"/>
    <n v="54404.875999999997"/>
    <s v="OK"/>
    <x v="2"/>
    <x v="3"/>
  </r>
  <r>
    <s v="F0150"/>
    <d v="2026-02-04T00:00:00"/>
    <s v="D03"/>
    <s v="C01"/>
    <n v="12.2"/>
    <n v="25001.1"/>
    <n v="805.9"/>
    <n v="24195.200000000001"/>
    <s v="Processor"/>
    <n v="3.09"/>
    <n v="12512.82"/>
    <n v="2049.2704918032787"/>
    <n v="3.2234581678406149E-2"/>
    <n v="74763.168000000005"/>
    <n v="62250.348000000005"/>
    <s v="OK"/>
    <x v="0"/>
    <x v="0"/>
  </r>
  <r>
    <s v="F0107"/>
    <d v="2025-10-09T00:00:00"/>
    <s v="D03"/>
    <s v="C01"/>
    <n v="3.8"/>
    <n v="7146.4"/>
    <n v="437.9"/>
    <n v="6708.5"/>
    <s v="Farm Gate"/>
    <n v="3.81"/>
    <n v="4013"/>
    <n v="1880.6315789473683"/>
    <n v="6.1275607298779802E-2"/>
    <n v="25559.385000000002"/>
    <n v="21546.385000000002"/>
    <s v="OK"/>
    <x v="0"/>
    <x v="0"/>
  </r>
  <r>
    <s v="F0213"/>
    <d v="2026-06-05T00:00:00"/>
    <s v="D05"/>
    <s v="C02"/>
    <n v="14.1"/>
    <n v="35942.9"/>
    <n v="2112.9"/>
    <n v="33830"/>
    <s v="Farm Gate"/>
    <n v="6.61"/>
    <n v="21007.31"/>
    <n v="2549.1418439716313"/>
    <n v="5.8784906059332995E-2"/>
    <n v="223616.30000000002"/>
    <n v="202608.99000000002"/>
    <s v="OK"/>
    <x v="2"/>
    <x v="1"/>
  </r>
  <r>
    <s v="F0209"/>
    <d v="2026-01-19T00:00:00"/>
    <s v="D05"/>
    <s v="C04"/>
    <n v="11.7"/>
    <n v="56773"/>
    <n v="1802.5"/>
    <n v="54970.5"/>
    <s v="Local Market"/>
    <n v="9.11"/>
    <n v="16365.19"/>
    <n v="4852.393162393163"/>
    <n v="3.1749247001215369E-2"/>
    <n v="500781.25499999995"/>
    <n v="484416.06499999994"/>
    <s v="OK"/>
    <x v="3"/>
    <x v="1"/>
  </r>
  <r>
    <s v="F0191"/>
    <d v="2025-10-08T00:00:00"/>
    <s v="D01"/>
    <s v="C05"/>
    <n v="14.4"/>
    <n v="18762.900000000001"/>
    <n v="480.3"/>
    <n v="18282.599999999999"/>
    <s v="Local Market"/>
    <n v="4.16"/>
    <n v="22891.31"/>
    <n v="1302.9791666666667"/>
    <n v="2.5598388308843513E-2"/>
    <n v="76055.615999999995"/>
    <n v="53164.305999999997"/>
    <s v="OK"/>
    <x v="5"/>
    <x v="3"/>
  </r>
  <r>
    <s v="F0008"/>
    <d v="2025-09-06T00:00:00"/>
    <s v="D01"/>
    <s v="C04"/>
    <n v="2.1"/>
    <n v="8858.2999999999993"/>
    <n v="1069"/>
    <n v="7789.3"/>
    <s v="Processor"/>
    <n v="8.93"/>
    <n v="3734.6"/>
    <n v="4218.2380952380945"/>
    <n v="0.12067778241874853"/>
    <n v="69558.448999999993"/>
    <n v="65823.848999999987"/>
    <s v="OK"/>
    <x v="3"/>
    <x v="3"/>
  </r>
  <r>
    <s v="F0018"/>
    <d v="2025-11-16T00:00:00"/>
    <s v="D04"/>
    <s v="C05"/>
    <n v="1.4"/>
    <n v="2466.1"/>
    <n v="268.2"/>
    <n v="2197.9"/>
    <s v="Wholesaler"/>
    <n v="5.17"/>
    <n v="2219.58"/>
    <n v="1761.5"/>
    <n v="0.10875471392076558"/>
    <n v="11363.143"/>
    <n v="9143.5630000000001"/>
    <s v="OK"/>
    <x v="5"/>
    <x v="2"/>
  </r>
  <r>
    <s v="F0125"/>
    <d v="2026-03-25T00:00:00"/>
    <s v="D01"/>
    <s v="C02"/>
    <n v="8.6"/>
    <n v="16866"/>
    <n v="2005.3"/>
    <n v="14860.7"/>
    <s v="Local Market"/>
    <n v="5.27"/>
    <n v="9715.42"/>
    <n v="1961.1627906976746"/>
    <n v="0.11889600379461639"/>
    <n v="78315.888999999996"/>
    <n v="68600.468999999997"/>
    <s v="OK"/>
    <x v="2"/>
    <x v="3"/>
  </r>
  <r>
    <s v="F0080"/>
    <d v="2026-06-27T00:00:00"/>
    <s v="D01"/>
    <s v="C03"/>
    <n v="9.8000000000000007"/>
    <n v="80551.199999999997"/>
    <n v="10962.6"/>
    <n v="69588.600000000006"/>
    <s v="Farm Gate"/>
    <n v="7.1"/>
    <n v="8282.5499999999993"/>
    <n v="8219.5102040816309"/>
    <n v="0.136094806781277"/>
    <n v="494079.06"/>
    <n v="485796.51"/>
    <s v="OK"/>
    <x v="1"/>
    <x v="3"/>
  </r>
  <r>
    <s v="F0190"/>
    <d v="2026-03-29T00:00:00"/>
    <s v="D05"/>
    <s v="C06"/>
    <n v="9.1"/>
    <n v="48805.1"/>
    <n v="1403.2"/>
    <n v="47401.9"/>
    <s v="Farm Gate"/>
    <n v="2.25"/>
    <n v="12042.45"/>
    <n v="5363.197802197802"/>
    <n v="2.8751093635706108E-2"/>
    <n v="106654.27500000001"/>
    <n v="94611.825000000012"/>
    <s v="OK"/>
    <x v="4"/>
    <x v="1"/>
  </r>
  <r>
    <s v="F0021"/>
    <d v="2025-09-15T00:00:00"/>
    <s v="D03"/>
    <s v="C04"/>
    <n v="1.6"/>
    <n v="9349.9"/>
    <n v="754.9"/>
    <n v="8595"/>
    <s v="Farm Gate"/>
    <n v="9.56"/>
    <n v="1810.8"/>
    <n v="5843.6874999999991"/>
    <n v="8.0738831431352201E-2"/>
    <n v="82168.2"/>
    <n v="80357.399999999994"/>
    <s v="OK"/>
    <x v="3"/>
    <x v="0"/>
  </r>
  <r>
    <s v="F0020"/>
    <d v="2026-03-22T00:00:00"/>
    <s v="D01"/>
    <s v="C01"/>
    <n v="2.2000000000000002"/>
    <n v="4295.3"/>
    <n v="380"/>
    <n v="3915.3"/>
    <s v="Wholesaler"/>
    <n v="3.07"/>
    <n v="3355.13"/>
    <n v="1952.4090909090908"/>
    <n v="8.8468791469745997E-2"/>
    <n v="12019.971"/>
    <n v="8664.8410000000003"/>
    <s v="OK"/>
    <x v="0"/>
    <x v="3"/>
  </r>
  <r>
    <s v="F0142"/>
    <d v="2026-02-27T00:00:00"/>
    <s v="D05"/>
    <s v="C04"/>
    <n v="2.6"/>
    <n v="9754.9"/>
    <n v="750.6"/>
    <n v="9004.2999999999993"/>
    <s v="Processor"/>
    <n v="8.51"/>
    <n v="2492.86"/>
    <n v="3751.8846153846152"/>
    <n v="7.694594511476284E-2"/>
    <n v="76626.592999999993"/>
    <n v="74133.732999999993"/>
    <s v="OK"/>
    <x v="3"/>
    <x v="1"/>
  </r>
  <r>
    <s v="F0191"/>
    <d v="2026-02-17T00:00:00"/>
    <s v="D04"/>
    <s v="C03"/>
    <n v="11"/>
    <n v="104406.2"/>
    <n v="12876.5"/>
    <n v="91529.7"/>
    <s v="Wholesaler"/>
    <n v="5.61"/>
    <n v="10120.299999999999"/>
    <n v="9491.4727272727268"/>
    <n v="0.12333079836254936"/>
    <n v="513481.61700000003"/>
    <n v="503361.31700000004"/>
    <s v="OK"/>
    <x v="1"/>
    <x v="2"/>
  </r>
  <r>
    <s v="F0089"/>
    <d v="2025-08-17T00:00:00"/>
    <s v="D01"/>
    <s v="C02"/>
    <n v="12.4"/>
    <n v="18046.5"/>
    <n v="2817.4"/>
    <n v="15229.1"/>
    <s v="Local Market"/>
    <n v="6.72"/>
    <n v="19927.310000000001"/>
    <n v="1455.3629032258063"/>
    <n v="0.15611891502507411"/>
    <n v="102339.552"/>
    <n v="82412.241999999998"/>
    <s v="OK"/>
    <x v="2"/>
    <x v="3"/>
  </r>
  <r>
    <s v="F0197"/>
    <d v="2026-01-26T00:00:00"/>
    <s v="D03"/>
    <s v="C05"/>
    <n v="9.3000000000000007"/>
    <n v="10902.6"/>
    <n v="1683.1"/>
    <n v="9219.5"/>
    <s v="Local Market"/>
    <n v="4.8099999999999996"/>
    <n v="8556.2000000000007"/>
    <n v="1172.3225806451612"/>
    <n v="0.15437602039880394"/>
    <n v="44345.794999999998"/>
    <n v="35789.595000000001"/>
    <s v="OK"/>
    <x v="5"/>
    <x v="0"/>
  </r>
  <r>
    <s v="F0062"/>
    <d v="2025-11-22T00:00:00"/>
    <s v="D05"/>
    <s v="C01"/>
    <n v="10.199999999999999"/>
    <n v="17039.7"/>
    <n v="963"/>
    <n v="16076.7"/>
    <s v="Local Market"/>
    <n v="3.52"/>
    <n v="10460.280000000001"/>
    <n v="1670.5588235294119"/>
    <n v="5.6515079490836104E-2"/>
    <n v="56589.984000000004"/>
    <n v="46129.704000000005"/>
    <s v="OK"/>
    <x v="0"/>
    <x v="1"/>
  </r>
  <r>
    <s v="F0193"/>
    <d v="2026-03-24T00:00:00"/>
    <s v="D05"/>
    <s v="C04"/>
    <n v="12.6"/>
    <n v="73817.2"/>
    <n v="9208.7999999999993"/>
    <n v="64608.4"/>
    <s v="Farm Gate"/>
    <n v="9.3000000000000007"/>
    <n v="22078.68"/>
    <n v="5858.5079365079364"/>
    <n v="0.1247514129498274"/>
    <n v="600858.12000000011"/>
    <n v="578779.44000000006"/>
    <s v="OK"/>
    <x v="3"/>
    <x v="1"/>
  </r>
  <r>
    <s v="F0061"/>
    <d v="2026-05-06T00:00:00"/>
    <s v="D02"/>
    <s v="C02"/>
    <n v="9.3000000000000007"/>
    <n v="23536.1"/>
    <n v="745.9"/>
    <n v="22790.2"/>
    <s v="Local Market"/>
    <n v="6.12"/>
    <n v="7104.77"/>
    <n v="2530.7634408602148"/>
    <n v="3.1691741622443821E-2"/>
    <n v="139476.024"/>
    <n v="132371.25400000002"/>
    <s v="OK"/>
    <x v="2"/>
    <x v="4"/>
  </r>
  <r>
    <s v="F0051"/>
    <d v="2025-07-29T00:00:00"/>
    <s v="D04"/>
    <s v="C03"/>
    <n v="9.1999999999999993"/>
    <n v="74230.600000000006"/>
    <n v="8783.2999999999993"/>
    <n v="65447.3"/>
    <s v="Processor"/>
    <n v="7.33"/>
    <n v="11472.06"/>
    <n v="8068.5434782608709"/>
    <n v="0.11832451846004206"/>
    <n v="479728.70900000003"/>
    <n v="468256.64900000003"/>
    <s v="OK"/>
    <x v="1"/>
    <x v="2"/>
  </r>
  <r>
    <s v="F0116"/>
    <d v="2026-02-28T00:00:00"/>
    <s v="D04"/>
    <s v="C05"/>
    <n v="13.6"/>
    <n v="24776"/>
    <n v="3936.1"/>
    <n v="20839.900000000001"/>
    <s v="Farm Gate"/>
    <n v="4.58"/>
    <n v="19472.03"/>
    <n v="1821.7647058823529"/>
    <n v="0.15886745237326444"/>
    <n v="95446.742000000013"/>
    <n v="75974.712000000014"/>
    <s v="OK"/>
    <x v="5"/>
    <x v="2"/>
  </r>
  <r>
    <s v="F0016"/>
    <d v="2025-09-03T00:00:00"/>
    <s v="D05"/>
    <s v="C03"/>
    <n v="11.7"/>
    <n v="99877.3"/>
    <n v="13114.4"/>
    <n v="86762.9"/>
    <s v="Local Market"/>
    <n v="7.01"/>
    <n v="20847.78"/>
    <n v="8536.521367521369"/>
    <n v="0.13130511137165302"/>
    <n v="608207.92899999989"/>
    <n v="587360.14899999986"/>
    <s v="OK"/>
    <x v="1"/>
    <x v="1"/>
  </r>
  <r>
    <s v="F0168"/>
    <d v="2026-03-14T00:00:00"/>
    <s v="D01"/>
    <s v="C03"/>
    <n v="1.9"/>
    <n v="12904.6"/>
    <n v="973"/>
    <n v="11931.6"/>
    <s v="Wholesaler"/>
    <n v="7.38"/>
    <n v="1247.97"/>
    <n v="6791.8947368421059"/>
    <n v="7.5399469956449638E-2"/>
    <n v="88055.207999999999"/>
    <n v="86807.237999999998"/>
    <s v="OK"/>
    <x v="1"/>
    <x v="3"/>
  </r>
  <r>
    <s v="F0101"/>
    <d v="2025-09-08T00:00:00"/>
    <s v="D02"/>
    <s v="C01"/>
    <n v="12.5"/>
    <n v="17372.7"/>
    <n v="1614.9"/>
    <n v="15757.8"/>
    <s v="Processor"/>
    <n v="3.64"/>
    <n v="10941.15"/>
    <n v="1389.816"/>
    <n v="9.2956189884128543E-2"/>
    <n v="57358.392"/>
    <n v="46417.241999999998"/>
    <s v="OK"/>
    <x v="0"/>
    <x v="4"/>
  </r>
  <r>
    <s v="F0081"/>
    <d v="2025-12-22T00:00:00"/>
    <s v="D04"/>
    <s v="C02"/>
    <n v="13"/>
    <n v="31528"/>
    <n v="4813"/>
    <n v="26715"/>
    <s v="Local Market"/>
    <n v="5.15"/>
    <n v="18951.830000000002"/>
    <n v="2425.2307692307691"/>
    <n v="0.15265795483379851"/>
    <n v="137582.25"/>
    <n v="118630.42"/>
    <s v="OK"/>
    <x v="2"/>
    <x v="2"/>
  </r>
  <r>
    <s v="F0193"/>
    <d v="2025-11-14T00:00:00"/>
    <s v="D01"/>
    <s v="C03"/>
    <n v="4.5999999999999996"/>
    <n v="39238.800000000003"/>
    <n v="5922.4"/>
    <n v="33316.400000000001"/>
    <s v="Local Market"/>
    <n v="7.71"/>
    <n v="7773.3"/>
    <n v="8530.1739130434798"/>
    <n v="0.15093224053742721"/>
    <n v="256869.44400000002"/>
    <n v="249096.14400000003"/>
    <s v="OK"/>
    <x v="1"/>
    <x v="3"/>
  </r>
  <r>
    <s v="F0126"/>
    <d v="2026-03-19T00:00:00"/>
    <s v="D02"/>
    <s v="C04"/>
    <n v="9.1"/>
    <n v="58175.8"/>
    <n v="8401.9"/>
    <n v="49773.9"/>
    <s v="Farm Gate"/>
    <n v="9.44"/>
    <n v="7761.58"/>
    <n v="6392.9450549450557"/>
    <n v="0.14442259496216639"/>
    <n v="469865.61599999998"/>
    <n v="462104.03599999996"/>
    <s v="OK"/>
    <x v="3"/>
    <x v="4"/>
  </r>
  <r>
    <s v="F0035"/>
    <d v="2026-04-10T00:00:00"/>
    <s v="D04"/>
    <s v="C04"/>
    <n v="7.1"/>
    <n v="43735.7"/>
    <n v="4671.2"/>
    <n v="39064.5"/>
    <s v="Wholesaler"/>
    <n v="10.74"/>
    <n v="6460.11"/>
    <n v="6159.9577464788736"/>
    <n v="0.10680519575541263"/>
    <n v="419552.73"/>
    <n v="413092.62"/>
    <s v="OK"/>
    <x v="3"/>
    <x v="2"/>
  </r>
  <r>
    <s v="F0006"/>
    <d v="2025-07-02T00:00:00"/>
    <s v="D03"/>
    <s v="C03"/>
    <n v="6.4"/>
    <n v="60240.2"/>
    <n v="4754.5"/>
    <n v="55485.7"/>
    <s v="Wholesaler"/>
    <n v="5.86"/>
    <n v="10612.21"/>
    <n v="9412.5312499999982"/>
    <n v="7.8925700777885868E-2"/>
    <n v="325146.20199999999"/>
    <n v="314533.99199999997"/>
    <s v="OK"/>
    <x v="1"/>
    <x v="0"/>
  </r>
  <r>
    <s v="F0162"/>
    <d v="2025-10-25T00:00:00"/>
    <s v="D02"/>
    <s v="C03"/>
    <n v="1.8"/>
    <n v="16131.1"/>
    <n v="1842.6"/>
    <n v="14288.5"/>
    <s v="Processor"/>
    <n v="5.67"/>
    <n v="2041.49"/>
    <n v="8961.7222222222226"/>
    <n v="0.11422655615550086"/>
    <n v="81015.794999999998"/>
    <n v="78974.304999999993"/>
    <s v="OK"/>
    <x v="1"/>
    <x v="4"/>
  </r>
  <r>
    <s v="F0125"/>
    <d v="2025-07-02T00:00:00"/>
    <s v="D04"/>
    <s v="C02"/>
    <n v="3.5"/>
    <n v="6683.8"/>
    <n v="1020.1"/>
    <n v="5663.7"/>
    <s v="Processor"/>
    <n v="5.25"/>
    <n v="4642.1400000000003"/>
    <n v="1909.6571428571428"/>
    <n v="0.15262275950806428"/>
    <n v="29734.424999999999"/>
    <n v="25092.285"/>
    <s v="OK"/>
    <x v="2"/>
    <x v="2"/>
  </r>
  <r>
    <s v="F0110"/>
    <d v="2025-08-03T00:00:00"/>
    <s v="D03"/>
    <s v="C05"/>
    <n v="10.6"/>
    <n v="19146.7"/>
    <n v="1615.6"/>
    <n v="17531.099999999999"/>
    <s v="Farm Gate"/>
    <n v="4.2"/>
    <n v="7664.18"/>
    <n v="1806.2924528301887"/>
    <n v="8.4380075939979204E-2"/>
    <n v="73630.62"/>
    <n v="65966.44"/>
    <s v="OK"/>
    <x v="5"/>
    <x v="0"/>
  </r>
  <r>
    <s v="F0177"/>
    <d v="2025-07-31T00:00:00"/>
    <s v="D05"/>
    <s v="C05"/>
    <n v="2.7"/>
    <n v="3429.2"/>
    <n v="427.4"/>
    <n v="3001.8"/>
    <s v="Processor"/>
    <n v="4.5199999999999996"/>
    <n v="2583.6999999999998"/>
    <n v="1270.0740740740739"/>
    <n v="0.12463548349469264"/>
    <n v="13568.136"/>
    <n v="10984.436000000002"/>
    <s v="OK"/>
    <x v="5"/>
    <x v="1"/>
  </r>
  <r>
    <s v="F0153"/>
    <d v="2026-06-04T00:00:00"/>
    <s v="D02"/>
    <s v="C02"/>
    <n v="10.3"/>
    <n v="19174.3"/>
    <n v="539"/>
    <n v="18635.3"/>
    <s v="Wholesaler"/>
    <n v="5.44"/>
    <n v="9974.19"/>
    <n v="1861.5825242718445"/>
    <n v="2.811054380081672E-2"/>
    <n v="101376.03200000001"/>
    <n v="91401.842000000004"/>
    <s v="OK"/>
    <x v="2"/>
    <x v="4"/>
  </r>
  <r>
    <s v="F0009"/>
    <d v="2025-11-08T00:00:00"/>
    <s v="D01"/>
    <s v="C02"/>
    <n v="7.2"/>
    <n v="16325.3"/>
    <n v="822.7"/>
    <n v="15502.6"/>
    <s v="Wholesaler"/>
    <n v="6.79"/>
    <n v="11914.67"/>
    <n v="2267.4027777777778"/>
    <n v="5.0394173460824615E-2"/>
    <n v="105262.65400000001"/>
    <n v="93347.984000000011"/>
    <s v="OK"/>
    <x v="2"/>
    <x v="3"/>
  </r>
  <r>
    <s v="F0134"/>
    <d v="2025-12-18T00:00:00"/>
    <s v="D02"/>
    <s v="C06"/>
    <n v="8.1999999999999993"/>
    <n v="47929.599999999999"/>
    <n v="5728.3"/>
    <n v="42201.3"/>
    <s v="Local Market"/>
    <n v="2.11"/>
    <n v="9664.24"/>
    <n v="5845.0731707317073"/>
    <n v="0.11951487181199093"/>
    <n v="89044.743000000002"/>
    <n v="79380.502999999997"/>
    <s v="OK"/>
    <x v="4"/>
    <x v="4"/>
  </r>
  <r>
    <s v="F0013"/>
    <d v="2025-10-08T00:00:00"/>
    <s v="D04"/>
    <s v="C02"/>
    <n v="3.7"/>
    <n v="7452.3"/>
    <n v="1075.3"/>
    <n v="6377"/>
    <s v="Processor"/>
    <n v="5.81"/>
    <n v="4099.08"/>
    <n v="2014.135135135135"/>
    <n v="0.14429102424754772"/>
    <n v="37050.369999999995"/>
    <n v="32951.289999999994"/>
    <s v="OK"/>
    <x v="2"/>
    <x v="2"/>
  </r>
  <r>
    <s v="F0172"/>
    <d v="2025-10-05T00:00:00"/>
    <s v="D04"/>
    <s v="C06"/>
    <n v="13.8"/>
    <n v="106345.9"/>
    <n v="13447.2"/>
    <n v="92898.7"/>
    <s v="Processor"/>
    <n v="2.0699999999999998"/>
    <n v="19068.21"/>
    <n v="7706.224637681159"/>
    <n v="0.12644775209951678"/>
    <n v="192300.30899999998"/>
    <n v="173232.09899999999"/>
    <s v="OK"/>
    <x v="4"/>
    <x v="2"/>
  </r>
  <r>
    <s v="F0153"/>
    <d v="2025-12-10T00:00:00"/>
    <s v="D03"/>
    <s v="C04"/>
    <n v="3.2"/>
    <n v="19713.099999999999"/>
    <n v="2084.3000000000002"/>
    <n v="17628.8"/>
    <s v="Local Market"/>
    <n v="8.5299999999999994"/>
    <n v="3683.3"/>
    <n v="6160.3437499999991"/>
    <n v="0.10573172154557124"/>
    <n v="150373.66399999999"/>
    <n v="146690.364"/>
    <s v="OK"/>
    <x v="3"/>
    <x v="0"/>
  </r>
  <r>
    <s v="F0050"/>
    <d v="2026-06-01T00:00:00"/>
    <s v="D02"/>
    <s v="C03"/>
    <n v="2.5"/>
    <n v="20854.5"/>
    <n v="831.3"/>
    <n v="20023.2"/>
    <s v="Farm Gate"/>
    <n v="6.64"/>
    <n v="2338.15"/>
    <n v="8341.7999999999993"/>
    <n v="3.9861900309285762E-2"/>
    <n v="132954.04800000001"/>
    <n v="130615.89800000002"/>
    <s v="OK"/>
    <x v="1"/>
    <x v="4"/>
  </r>
  <r>
    <s v="F0199"/>
    <d v="2026-06-03T00:00:00"/>
    <s v="D03"/>
    <s v="C06"/>
    <n v="7.1"/>
    <n v="37677"/>
    <n v="1688.8"/>
    <n v="35988.199999999997"/>
    <s v="Processor"/>
    <n v="2.29"/>
    <n v="11987.46"/>
    <n v="5306.6197183098593"/>
    <n v="4.4823101626987286E-2"/>
    <n v="82412.977999999988"/>
    <n v="70425.517999999982"/>
    <s v="OK"/>
    <x v="4"/>
    <x v="0"/>
  </r>
  <r>
    <s v="F0131"/>
    <d v="2026-03-09T00:00:00"/>
    <s v="D04"/>
    <s v="C04"/>
    <n v="8.9"/>
    <n v="54508.800000000003"/>
    <n v="6570.4"/>
    <n v="47938.400000000001"/>
    <s v="Processor"/>
    <n v="8.24"/>
    <n v="15786.42"/>
    <n v="6124.5842696629215"/>
    <n v="0.12053833509451684"/>
    <n v="395012.41600000003"/>
    <n v="379225.99600000004"/>
    <s v="OK"/>
    <x v="3"/>
    <x v="2"/>
  </r>
  <r>
    <s v="F0053"/>
    <d v="2026-06-02T00:00:00"/>
    <s v="D03"/>
    <s v="C03"/>
    <n v="14.3"/>
    <n v="120407.9"/>
    <n v="9605.7000000000007"/>
    <n v="110802.2"/>
    <s v="Local Market"/>
    <n v="5.71"/>
    <n v="15274.81"/>
    <n v="8420.1328671328665"/>
    <n v="7.9776326968579309E-2"/>
    <n v="632680.56200000003"/>
    <n v="617405.75199999998"/>
    <s v="OK"/>
    <x v="1"/>
    <x v="0"/>
  </r>
  <r>
    <s v="F0104"/>
    <d v="2025-10-20T00:00:00"/>
    <s v="D05"/>
    <s v="C06"/>
    <n v="11.5"/>
    <n v="64467.199999999997"/>
    <n v="10019.299999999999"/>
    <n v="54447.9"/>
    <s v="Processor"/>
    <n v="2.2200000000000002"/>
    <n v="12614.98"/>
    <n v="5605.8434782608692"/>
    <n v="0.15541701826665344"/>
    <n v="120874.33800000002"/>
    <n v="108259.35800000002"/>
    <s v="OK"/>
    <x v="4"/>
    <x v="1"/>
  </r>
  <r>
    <s v="F0085"/>
    <d v="2026-06-22T00:00:00"/>
    <s v="D01"/>
    <s v="C04"/>
    <n v="10.4"/>
    <n v="50348"/>
    <n v="3605"/>
    <n v="46743"/>
    <s v="Wholesaler"/>
    <n v="9.58"/>
    <n v="17048.23"/>
    <n v="4841.1538461538457"/>
    <n v="7.1601652498609683E-2"/>
    <n v="447797.94"/>
    <n v="430749.71"/>
    <s v="OK"/>
    <x v="3"/>
    <x v="3"/>
  </r>
  <r>
    <s v="F0193"/>
    <d v="2026-01-17T00:00:00"/>
    <s v="D05"/>
    <s v="C02"/>
    <n v="10.7"/>
    <n v="17678.8"/>
    <n v="1336.5"/>
    <n v="16342.3"/>
    <s v="Processor"/>
    <n v="5.59"/>
    <n v="16567.66"/>
    <n v="1652.2242990654206"/>
    <n v="7.5599022558092185E-2"/>
    <n v="91353.456999999995"/>
    <n v="74785.796999999991"/>
    <s v="OK"/>
    <x v="2"/>
    <x v="1"/>
  </r>
  <r>
    <s v="F0128"/>
    <d v="2025-12-01T00:00:00"/>
    <s v="D01"/>
    <s v="C01"/>
    <n v="7.4"/>
    <n v="16807.599999999999"/>
    <n v="2460.3000000000002"/>
    <n v="14347.3"/>
    <s v="Farm Gate"/>
    <n v="3.7"/>
    <n v="11257.05"/>
    <n v="2271.2972972972971"/>
    <n v="0.14638020895309267"/>
    <n v="53085.01"/>
    <n v="41827.960000000006"/>
    <s v="OK"/>
    <x v="0"/>
    <x v="3"/>
  </r>
  <r>
    <s v="F0161"/>
    <d v="2025-09-19T00:00:00"/>
    <s v="D05"/>
    <s v="C01"/>
    <n v="7.1"/>
    <n v="10192.9"/>
    <n v="1514.8"/>
    <n v="8678.1"/>
    <s v="Processor"/>
    <n v="3.15"/>
    <n v="10686.17"/>
    <n v="1435.6197183098591"/>
    <n v="0.14861325039978809"/>
    <n v="27336.014999999999"/>
    <n v="16649.845000000001"/>
    <s v="OK"/>
    <x v="0"/>
    <x v="1"/>
  </r>
  <r>
    <s v="F0116"/>
    <d v="2025-09-10T00:00:00"/>
    <s v="D04"/>
    <s v="C06"/>
    <n v="8.1"/>
    <n v="61997.9"/>
    <n v="7266.6"/>
    <n v="54731.3"/>
    <s v="Local Market"/>
    <n v="2.2799999999999998"/>
    <n v="14139.15"/>
    <n v="7654.0617283950623"/>
    <n v="0.11720719572759723"/>
    <n v="124787.364"/>
    <n v="110648.21400000001"/>
    <s v="OK"/>
    <x v="4"/>
    <x v="2"/>
  </r>
  <r>
    <s v="F0145"/>
    <d v="2025-11-24T00:00:00"/>
    <s v="D03"/>
    <s v="C02"/>
    <n v="9.5"/>
    <n v="15368.5"/>
    <n v="1801"/>
    <n v="13567.5"/>
    <s v="Processor"/>
    <n v="5.96"/>
    <n v="13336.61"/>
    <n v="1617.7368421052631"/>
    <n v="0.11718775417249569"/>
    <n v="80862.3"/>
    <n v="67525.69"/>
    <s v="OK"/>
    <x v="2"/>
    <x v="0"/>
  </r>
  <r>
    <s v="F0115"/>
    <d v="2026-05-06T00:00:00"/>
    <s v="D03"/>
    <s v="C03"/>
    <n v="3.9"/>
    <n v="25562.6"/>
    <n v="1374.7"/>
    <n v="24187.9"/>
    <s v="Local Market"/>
    <n v="6.11"/>
    <n v="5490.85"/>
    <n v="6554.5128205128203"/>
    <n v="5.3777784732382469E-2"/>
    <n v="147788.06900000002"/>
    <n v="142297.21900000001"/>
    <s v="OK"/>
    <x v="1"/>
    <x v="0"/>
  </r>
  <r>
    <s v="F0204"/>
    <d v="2026-02-21T00:00:00"/>
    <s v="D04"/>
    <s v="C05"/>
    <n v="10.7"/>
    <n v="16223.2"/>
    <n v="1040.0999999999999"/>
    <n v="15183.1"/>
    <s v="Farm Gate"/>
    <n v="4.5999999999999996"/>
    <n v="9484.33"/>
    <n v="1516.1869158878505"/>
    <n v="6.41118891464076E-2"/>
    <n v="69842.259999999995"/>
    <n v="60357.929999999993"/>
    <s v="OK"/>
    <x v="5"/>
    <x v="2"/>
  </r>
  <r>
    <s v="F0115"/>
    <d v="2026-06-07T00:00:00"/>
    <s v="D03"/>
    <s v="C03"/>
    <n v="12.1"/>
    <n v="78950.600000000006"/>
    <n v="8949.7000000000007"/>
    <n v="70000.899999999994"/>
    <s v="Wholesaler"/>
    <n v="6.21"/>
    <n v="16289.33"/>
    <n v="6524.8429752066122"/>
    <n v="0.11335822653659378"/>
    <n v="434705.58899999998"/>
    <n v="418416.25899999996"/>
    <s v="OK"/>
    <x v="1"/>
    <x v="0"/>
  </r>
  <r>
    <s v="F0084"/>
    <d v="2026-01-23T00:00:00"/>
    <s v="D04"/>
    <s v="C04"/>
    <n v="5"/>
    <n v="26179.9"/>
    <n v="859.2"/>
    <n v="25320.7"/>
    <s v="Processor"/>
    <n v="9.2899999999999991"/>
    <n v="8005.67"/>
    <n v="5235.9800000000005"/>
    <n v="3.2819071119446597E-2"/>
    <n v="235229.30299999999"/>
    <n v="227223.63299999997"/>
    <s v="OK"/>
    <x v="3"/>
    <x v="2"/>
  </r>
  <r>
    <s v="F0134"/>
    <d v="2025-07-19T00:00:00"/>
    <s v="D05"/>
    <s v="C01"/>
    <n v="3.3"/>
    <n v="4391.8999999999996"/>
    <n v="664.5"/>
    <n v="3727.4"/>
    <s v="Wholesaler"/>
    <n v="3.42"/>
    <n v="4921.7299999999996"/>
    <n v="1330.8787878787878"/>
    <n v="0.15130125913613698"/>
    <n v="12747.708000000001"/>
    <n v="7825.978000000001"/>
    <s v="OK"/>
    <x v="0"/>
    <x v="1"/>
  </r>
  <r>
    <s v="F0178"/>
    <d v="2026-03-29T00:00:00"/>
    <s v="D03"/>
    <s v="C03"/>
    <n v="6.3"/>
    <n v="45244.3"/>
    <n v="4081.1"/>
    <n v="41163.199999999997"/>
    <s v="Processor"/>
    <n v="5.68"/>
    <n v="6153.39"/>
    <n v="7181.6349206349214"/>
    <n v="9.020141763713882E-2"/>
    <n v="233806.97599999997"/>
    <n v="227653.58599999995"/>
    <s v="OK"/>
    <x v="1"/>
    <x v="0"/>
  </r>
  <r>
    <s v="F0014"/>
    <d v="2026-01-25T00:00:00"/>
    <s v="D05"/>
    <s v="C02"/>
    <n v="1.5"/>
    <n v="3493.6"/>
    <n v="307"/>
    <n v="3186.6"/>
    <s v="Farm Gate"/>
    <n v="5.62"/>
    <n v="2356.58"/>
    <n v="2329.0666666666666"/>
    <n v="8.787497137623082E-2"/>
    <n v="17908.691999999999"/>
    <n v="15552.111999999999"/>
    <s v="OK"/>
    <x v="2"/>
    <x v="1"/>
  </r>
  <r>
    <s v="F0022"/>
    <d v="2026-05-14T00:00:00"/>
    <s v="D03"/>
    <s v="C05"/>
    <n v="10.1"/>
    <n v="15643.6"/>
    <n v="762.7"/>
    <n v="14880.9"/>
    <s v="Processor"/>
    <n v="4.22"/>
    <n v="17353.84"/>
    <n v="1548.871287128713"/>
    <n v="4.875476233092127E-2"/>
    <n v="62797.397999999994"/>
    <n v="45443.55799999999"/>
    <s v="OK"/>
    <x v="5"/>
    <x v="0"/>
  </r>
  <r>
    <s v="F0004"/>
    <d v="2025-07-18T00:00:00"/>
    <s v="D02"/>
    <s v="C06"/>
    <n v="1.4"/>
    <n v="5757"/>
    <n v="617.6"/>
    <n v="5139.3999999999996"/>
    <s v="Farm Gate"/>
    <n v="2.23"/>
    <n v="2055.44"/>
    <n v="4112.1428571428578"/>
    <n v="0.1072780962306757"/>
    <n v="11460.861999999999"/>
    <n v="9405.4219999999987"/>
    <s v="OK"/>
    <x v="4"/>
    <x v="4"/>
  </r>
  <r>
    <s v="F0121"/>
    <d v="2026-01-24T00:00:00"/>
    <s v="D01"/>
    <s v="C05"/>
    <n v="10"/>
    <n v="14535.8"/>
    <n v="2090.9"/>
    <n v="12444.9"/>
    <s v="Processor"/>
    <n v="4.07"/>
    <n v="11734.64"/>
    <n v="1453.58"/>
    <n v="0.14384485202052863"/>
    <n v="50650.743000000002"/>
    <n v="38916.103000000003"/>
    <s v="OK"/>
    <x v="5"/>
    <x v="3"/>
  </r>
  <r>
    <s v="F0104"/>
    <d v="2026-04-26T00:00:00"/>
    <s v="D02"/>
    <s v="C05"/>
    <n v="14"/>
    <n v="21533.3"/>
    <n v="1646.6"/>
    <n v="19886.7"/>
    <s v="Farm Gate"/>
    <n v="4.63"/>
    <n v="18808.02"/>
    <n v="1538.0928571428572"/>
    <n v="7.6467610630976207E-2"/>
    <n v="92075.421000000002"/>
    <n v="73267.400999999998"/>
    <s v="OK"/>
    <x v="5"/>
    <x v="4"/>
  </r>
  <r>
    <s v="F0067"/>
    <d v="2026-01-07T00:00:00"/>
    <s v="D04"/>
    <s v="C01"/>
    <n v="13.9"/>
    <n v="29270.5"/>
    <n v="1449.8"/>
    <n v="27820.7"/>
    <s v="Local Market"/>
    <n v="3.59"/>
    <n v="13412.34"/>
    <n v="2105.7913669064747"/>
    <n v="4.953109786303616E-2"/>
    <n v="99876.312999999995"/>
    <n v="86463.972999999998"/>
    <s v="OK"/>
    <x v="0"/>
    <x v="2"/>
  </r>
  <r>
    <s v="F0055"/>
    <d v="2025-08-27T00:00:00"/>
    <s v="D01"/>
    <s v="C03"/>
    <n v="4.8"/>
    <n v="45048.6"/>
    <n v="6279.7"/>
    <n v="38768.9"/>
    <s v="Wholesaler"/>
    <n v="7.78"/>
    <n v="8453.7800000000007"/>
    <n v="9385.125"/>
    <n v="0.13939833868311113"/>
    <n v="301622.04200000002"/>
    <n v="293168.26199999999"/>
    <s v="OK"/>
    <x v="1"/>
    <x v="3"/>
  </r>
  <r>
    <s v="F0179"/>
    <d v="2025-09-07T00:00:00"/>
    <s v="D03"/>
    <s v="C03"/>
    <n v="12.4"/>
    <n v="124240.6"/>
    <n v="17907.8"/>
    <n v="106332.8"/>
    <s v="Wholesaler"/>
    <n v="5.53"/>
    <n v="21112.47"/>
    <n v="10019.403225806453"/>
    <n v="0.1441380675882119"/>
    <n v="588020.38400000008"/>
    <n v="566907.91400000011"/>
    <s v="OK"/>
    <x v="1"/>
    <x v="0"/>
  </r>
  <r>
    <s v="F0020"/>
    <d v="2025-07-18T00:00:00"/>
    <s v="D01"/>
    <s v="C01"/>
    <n v="4.8"/>
    <n v="9505.6"/>
    <n v="1135.7"/>
    <n v="8369.9"/>
    <s v="Wholesaler"/>
    <n v="3.77"/>
    <n v="6090.88"/>
    <n v="1980.3333333333335"/>
    <n v="0.11947693990910621"/>
    <n v="31554.522999999997"/>
    <n v="25463.642999999996"/>
    <s v="OK"/>
    <x v="0"/>
    <x v="3"/>
  </r>
  <r>
    <s v="F0023"/>
    <d v="2025-09-11T00:00:00"/>
    <s v="D03"/>
    <s v="C04"/>
    <n v="10.1"/>
    <n v="44194.7"/>
    <n v="4442.5"/>
    <n v="39752.199999999997"/>
    <s v="Farm Gate"/>
    <n v="8.18"/>
    <n v="16461.939999999999"/>
    <n v="4375.712871287129"/>
    <n v="0.10052110320920835"/>
    <n v="325172.99599999998"/>
    <n v="308711.05599999998"/>
    <s v="OK"/>
    <x v="3"/>
    <x v="0"/>
  </r>
  <r>
    <s v="F0173"/>
    <d v="2026-02-05T00:00:00"/>
    <s v="D05"/>
    <s v="C04"/>
    <n v="6.6"/>
    <n v="30360.7"/>
    <n v="4155.6000000000004"/>
    <n v="26205.1"/>
    <s v="Wholesaler"/>
    <n v="10.3"/>
    <n v="6719.64"/>
    <n v="4600.106060606061"/>
    <n v="0.13687431449209012"/>
    <n v="269912.53000000003"/>
    <n v="263192.89"/>
    <s v="OK"/>
    <x v="3"/>
    <x v="1"/>
  </r>
  <r>
    <s v="F0184"/>
    <d v="2025-10-08T00:00:00"/>
    <s v="D02"/>
    <s v="C06"/>
    <n v="12.6"/>
    <n v="94432.7"/>
    <n v="8360.2000000000007"/>
    <n v="86072.5"/>
    <s v="Local Market"/>
    <n v="2.16"/>
    <n v="10069.48"/>
    <n v="7494.6587301587306"/>
    <n v="8.8530773767985044E-2"/>
    <n v="185916.6"/>
    <n v="175847.12"/>
    <s v="OK"/>
    <x v="4"/>
    <x v="4"/>
  </r>
  <r>
    <s v="F0042"/>
    <d v="2025-08-28T00:00:00"/>
    <s v="D01"/>
    <s v="C02"/>
    <n v="4.8"/>
    <n v="12061.5"/>
    <n v="1792.3"/>
    <n v="10269.200000000001"/>
    <s v="Processor"/>
    <n v="6.86"/>
    <n v="3145.36"/>
    <n v="2512.8125"/>
    <n v="0.14859677486216474"/>
    <n v="70446.712000000014"/>
    <n v="67301.352000000014"/>
    <s v="OK"/>
    <x v="2"/>
    <x v="3"/>
  </r>
  <r>
    <s v="F0203"/>
    <d v="2026-02-13T00:00:00"/>
    <s v="D01"/>
    <s v="C02"/>
    <n v="8.4"/>
    <n v="13240.8"/>
    <n v="499.8"/>
    <n v="12741"/>
    <s v="Local Market"/>
    <n v="6.95"/>
    <n v="14527.34"/>
    <n v="1576.2857142857142"/>
    <n v="3.7746963929671924E-2"/>
    <n v="88549.95"/>
    <n v="74022.61"/>
    <s v="OK"/>
    <x v="2"/>
    <x v="3"/>
  </r>
  <r>
    <s v="F0113"/>
    <d v="2025-07-11T00:00:00"/>
    <s v="D02"/>
    <s v="C02"/>
    <n v="2.7"/>
    <n v="7951.3"/>
    <n v="1240.5999999999999"/>
    <n v="6710.7"/>
    <s v="Processor"/>
    <n v="5.08"/>
    <n v="1957.27"/>
    <n v="2944.9259259259256"/>
    <n v="0.15602480097594101"/>
    <n v="34090.356"/>
    <n v="32133.085999999999"/>
    <s v="OK"/>
    <x v="2"/>
    <x v="4"/>
  </r>
  <r>
    <s v="F0172"/>
    <d v="2025-07-12T00:00:00"/>
    <s v="D02"/>
    <s v="C04"/>
    <n v="9.3000000000000007"/>
    <n v="43248.1"/>
    <n v="1413.8"/>
    <n v="41834.300000000003"/>
    <s v="Local Market"/>
    <n v="8.68"/>
    <n v="6496.47"/>
    <n v="4650.333333333333"/>
    <n v="3.2690453453446511E-2"/>
    <n v="363121.72399999999"/>
    <n v="356625.25400000002"/>
    <s v="OK"/>
    <x v="3"/>
    <x v="4"/>
  </r>
  <r>
    <s v="F0136"/>
    <d v="2025-12-01T00:00:00"/>
    <s v="D03"/>
    <s v="C03"/>
    <n v="9.5"/>
    <n v="93364.3"/>
    <n v="7403.5"/>
    <n v="85960.8"/>
    <s v="Farm Gate"/>
    <n v="6.19"/>
    <n v="6878.17"/>
    <n v="9827.8210526315797"/>
    <n v="7.9296904705545901E-2"/>
    <n v="532097.35200000007"/>
    <n v="525219.18200000003"/>
    <s v="OK"/>
    <x v="1"/>
    <x v="0"/>
  </r>
  <r>
    <s v="F0095"/>
    <d v="2026-04-01T00:00:00"/>
    <s v="D01"/>
    <s v="C01"/>
    <n v="5.8"/>
    <n v="7454.1"/>
    <n v="815.1"/>
    <n v="6639"/>
    <s v="Local Market"/>
    <n v="3.7"/>
    <n v="9408.8700000000008"/>
    <n v="1285.1896551724139"/>
    <n v="0.10934921720932105"/>
    <n v="24564.300000000003"/>
    <n v="15155.430000000002"/>
    <s v="OK"/>
    <x v="0"/>
    <x v="3"/>
  </r>
  <r>
    <s v="F0049"/>
    <d v="2025-10-14T00:00:00"/>
    <s v="D05"/>
    <s v="C02"/>
    <n v="3.6"/>
    <n v="8468.6"/>
    <n v="822.2"/>
    <n v="7646.4"/>
    <s v="Processor"/>
    <n v="5.39"/>
    <n v="6372.25"/>
    <n v="2352.3888888888891"/>
    <n v="9.7088066504498971E-2"/>
    <n v="41214.095999999998"/>
    <n v="34841.845999999998"/>
    <s v="OK"/>
    <x v="2"/>
    <x v="1"/>
  </r>
  <r>
    <s v="F0032"/>
    <d v="2025-08-03T00:00:00"/>
    <s v="D05"/>
    <s v="C04"/>
    <n v="9.4"/>
    <n v="45970.2"/>
    <n v="4457.5"/>
    <n v="41512.699999999997"/>
    <s v="Local Market"/>
    <n v="10.77"/>
    <n v="10039.64"/>
    <n v="4890.4468085106382"/>
    <n v="9.6964990363322331E-2"/>
    <n v="447091.77899999992"/>
    <n v="437052.13899999991"/>
    <s v="OK"/>
    <x v="3"/>
    <x v="1"/>
  </r>
  <r>
    <s v="F0036"/>
    <d v="2026-05-02T00:00:00"/>
    <s v="D04"/>
    <s v="C05"/>
    <n v="1.4"/>
    <n v="2353.3000000000002"/>
    <n v="360"/>
    <n v="1993.3"/>
    <s v="Processor"/>
    <n v="4.78"/>
    <n v="2381.2399999999998"/>
    <n v="1680.9285714285716"/>
    <n v="0.15297667105766369"/>
    <n v="9527.9740000000002"/>
    <n v="7146.7340000000004"/>
    <s v="OK"/>
    <x v="5"/>
    <x v="2"/>
  </r>
  <r>
    <s v="F0075"/>
    <d v="2025-12-25T00:00:00"/>
    <s v="D05"/>
    <s v="C05"/>
    <n v="6.1"/>
    <n v="12009.4"/>
    <n v="396.6"/>
    <n v="11612.8"/>
    <s v="Farm Gate"/>
    <n v="4.3099999999999996"/>
    <n v="8295.81"/>
    <n v="1968.7540983606557"/>
    <n v="3.3024131097307112E-2"/>
    <n v="50051.167999999991"/>
    <n v="41755.357999999993"/>
    <s v="OK"/>
    <x v="5"/>
    <x v="1"/>
  </r>
  <r>
    <s v="F0194"/>
    <d v="2026-03-11T00:00:00"/>
    <s v="D05"/>
    <s v="C02"/>
    <n v="3.8"/>
    <n v="10770.3"/>
    <n v="421.5"/>
    <n v="10348.799999999999"/>
    <s v="Processor"/>
    <n v="5.83"/>
    <n v="2923.46"/>
    <n v="2834.2894736842104"/>
    <n v="3.9135400128130139E-2"/>
    <n v="60333.503999999994"/>
    <n v="57410.043999999994"/>
    <s v="OK"/>
    <x v="2"/>
    <x v="1"/>
  </r>
  <r>
    <s v="F0031"/>
    <d v="2025-10-18T00:00:00"/>
    <s v="D02"/>
    <s v="C02"/>
    <n v="6.4"/>
    <n v="12316.8"/>
    <n v="1178.3"/>
    <n v="11138.5"/>
    <s v="Local Market"/>
    <n v="5.81"/>
    <n v="9373.19"/>
    <n v="1924.4999999999998"/>
    <n v="9.5666082099246555E-2"/>
    <n v="64714.684999999998"/>
    <n v="55341.494999999995"/>
    <s v="OK"/>
    <x v="2"/>
    <x v="4"/>
  </r>
  <r>
    <s v="F0177"/>
    <d v="2025-12-12T00:00:00"/>
    <s v="D01"/>
    <s v="C05"/>
    <n v="8.6999999999999993"/>
    <n v="11074.4"/>
    <n v="718"/>
    <n v="10356.4"/>
    <s v="Local Market"/>
    <n v="4.32"/>
    <n v="11877.8"/>
    <n v="1272.9195402298851"/>
    <n v="6.483421223723182E-2"/>
    <n v="44739.648000000001"/>
    <n v="32861.847999999998"/>
    <s v="OK"/>
    <x v="5"/>
    <x v="3"/>
  </r>
  <r>
    <s v="F0172"/>
    <d v="2026-05-19T00:00:00"/>
    <s v="D01"/>
    <s v="C01"/>
    <n v="10.8"/>
    <n v="17336.400000000001"/>
    <n v="1546.3"/>
    <n v="15790.1"/>
    <s v="Processor"/>
    <n v="2.88"/>
    <n v="16268.95"/>
    <n v="1605.2222222222222"/>
    <n v="8.9193834936895769E-2"/>
    <n v="45475.487999999998"/>
    <n v="29206.537999999997"/>
    <s v="OK"/>
    <x v="0"/>
    <x v="3"/>
  </r>
  <r>
    <s v="F0106"/>
    <d v="2025-07-23T00:00:00"/>
    <s v="D02"/>
    <s v="C03"/>
    <n v="14.6"/>
    <n v="80975.399999999994"/>
    <n v="2826.2"/>
    <n v="78149.2"/>
    <s v="Local Market"/>
    <n v="6.93"/>
    <n v="22744.11"/>
    <n v="5546.2602739726026"/>
    <n v="3.4901957878565593E-2"/>
    <n v="541573.95600000001"/>
    <n v="518829.84600000002"/>
    <s v="OK"/>
    <x v="1"/>
    <x v="4"/>
  </r>
  <r>
    <s v="F0117"/>
    <d v="2026-01-25T00:00:00"/>
    <s v="D05"/>
    <s v="C02"/>
    <n v="6"/>
    <n v="12176.2"/>
    <n v="461.7"/>
    <n v="11714.5"/>
    <s v="Wholesaler"/>
    <n v="6.83"/>
    <n v="9826.02"/>
    <n v="2029.3666666666668"/>
    <n v="3.7918233931768526E-2"/>
    <n v="80010.035000000003"/>
    <n v="70184.014999999999"/>
    <s v="OK"/>
    <x v="2"/>
    <x v="1"/>
  </r>
  <r>
    <s v="F0085"/>
    <d v="2026-02-13T00:00:00"/>
    <s v="D03"/>
    <s v="C01"/>
    <n v="9.1999999999999993"/>
    <n v="17970.8"/>
    <n v="2591"/>
    <n v="15379.8"/>
    <s v="Farm Gate"/>
    <n v="2.89"/>
    <n v="10615.14"/>
    <n v="1953.3478260869565"/>
    <n v="0.14417833374140274"/>
    <n v="44447.622000000003"/>
    <n v="33832.482000000004"/>
    <s v="OK"/>
    <x v="0"/>
    <x v="0"/>
  </r>
  <r>
    <s v="F0194"/>
    <d v="2026-02-02T00:00:00"/>
    <s v="D02"/>
    <s v="C05"/>
    <n v="5"/>
    <n v="5520.2"/>
    <n v="628.70000000000005"/>
    <n v="4891.5"/>
    <s v="Processor"/>
    <n v="5.35"/>
    <n v="4568.6000000000004"/>
    <n v="1104.04"/>
    <n v="0.1138908010579327"/>
    <n v="26169.524999999998"/>
    <n v="21600.924999999996"/>
    <s v="OK"/>
    <x v="5"/>
    <x v="4"/>
  </r>
  <r>
    <s v="F0034"/>
    <d v="2026-06-06T00:00:00"/>
    <s v="D01"/>
    <s v="C03"/>
    <n v="9"/>
    <n v="77618.3"/>
    <n v="3581.8"/>
    <n v="74036.5"/>
    <s v="Farm Gate"/>
    <n v="6.91"/>
    <n v="13352.58"/>
    <n v="8624.2555555555555"/>
    <n v="4.6146334047511992E-2"/>
    <n v="511592.21500000003"/>
    <n v="498239.63500000001"/>
    <s v="OK"/>
    <x v="1"/>
    <x v="3"/>
  </r>
  <r>
    <s v="F0162"/>
    <d v="2025-12-18T00:00:00"/>
    <s v="D02"/>
    <s v="C02"/>
    <n v="3.8"/>
    <n v="10652.3"/>
    <n v="1497.8"/>
    <n v="9154.5"/>
    <s v="Processor"/>
    <n v="5.0199999999999996"/>
    <n v="5336.63"/>
    <n v="2803.2368421052629"/>
    <n v="0.14060813157721808"/>
    <n v="45955.59"/>
    <n v="40618.959999999999"/>
    <s v="OK"/>
    <x v="2"/>
    <x v="4"/>
  </r>
  <r>
    <s v="F0141"/>
    <d v="2026-05-20T00:00:00"/>
    <s v="D05"/>
    <s v="C04"/>
    <n v="5.4"/>
    <n v="33631.1"/>
    <n v="2041.3"/>
    <n v="31589.8"/>
    <s v="Wholesaler"/>
    <n v="9.8699999999999992"/>
    <n v="5298.89"/>
    <n v="6227.9814814814808"/>
    <n v="6.0696795525570085E-2"/>
    <n v="311791.32599999994"/>
    <n v="306492.43599999993"/>
    <s v="OK"/>
    <x v="3"/>
    <x v="1"/>
  </r>
  <r>
    <s v="F0066"/>
    <d v="2025-11-13T00:00:00"/>
    <s v="D02"/>
    <s v="C06"/>
    <n v="8.1999999999999993"/>
    <n v="35992.5"/>
    <n v="1825.1"/>
    <n v="34167.4"/>
    <s v="Wholesaler"/>
    <n v="2.0499999999999998"/>
    <n v="14258.88"/>
    <n v="4389.3292682926831"/>
    <n v="5.0707786344377295E-2"/>
    <n v="70043.17"/>
    <n v="55784.29"/>
    <s v="OK"/>
    <x v="4"/>
    <x v="4"/>
  </r>
  <r>
    <s v="F0037"/>
    <d v="2026-01-01T00:00:00"/>
    <s v="D01"/>
    <s v="C05"/>
    <n v="4.2"/>
    <n v="8151.2"/>
    <n v="285.5"/>
    <n v="7865.7"/>
    <s v="Wholesaler"/>
    <n v="4.55"/>
    <n v="3268.72"/>
    <n v="1940.7619047619046"/>
    <n v="3.5025517715183044E-2"/>
    <n v="35788.934999999998"/>
    <n v="32520.214999999997"/>
    <s v="OK"/>
    <x v="5"/>
    <x v="3"/>
  </r>
  <r>
    <s v="F0060"/>
    <d v="2026-06-26T00:00:00"/>
    <s v="D04"/>
    <s v="C05"/>
    <n v="14.5"/>
    <n v="27799.7"/>
    <n v="924.4"/>
    <n v="26875.3"/>
    <s v="Local Market"/>
    <n v="4.53"/>
    <n v="15519.39"/>
    <n v="1917.2206896551725"/>
    <n v="3.3252157397381986E-2"/>
    <n v="121745.109"/>
    <n v="106225.719"/>
    <s v="OK"/>
    <x v="5"/>
    <x v="2"/>
  </r>
  <r>
    <s v="F0213"/>
    <d v="2026-01-21T00:00:00"/>
    <s v="D03"/>
    <s v="C06"/>
    <n v="4.2"/>
    <n v="26860.400000000001"/>
    <n v="1262.5999999999999"/>
    <n v="25597.8"/>
    <s v="Local Market"/>
    <n v="2.66"/>
    <n v="3999.62"/>
    <n v="6395.333333333333"/>
    <n v="4.700600139983023E-2"/>
    <n v="68090.148000000001"/>
    <n v="64090.527999999998"/>
    <s v="OK"/>
    <x v="4"/>
    <x v="0"/>
  </r>
  <r>
    <s v="F0200"/>
    <d v="2025-08-18T00:00:00"/>
    <s v="D03"/>
    <s v="C02"/>
    <n v="9.6"/>
    <n v="25787.599999999999"/>
    <n v="3799.1"/>
    <n v="21988.5"/>
    <s v="Farm Gate"/>
    <n v="5.32"/>
    <n v="12991.23"/>
    <n v="2686.2083333333335"/>
    <n v="0.14732274426468536"/>
    <n v="116978.82"/>
    <n v="103987.59000000001"/>
    <s v="OK"/>
    <x v="2"/>
    <x v="0"/>
  </r>
  <r>
    <s v="F0053"/>
    <d v="2026-02-22T00:00:00"/>
    <s v="D03"/>
    <s v="C04"/>
    <n v="11.4"/>
    <n v="59893.4"/>
    <n v="2472.9"/>
    <n v="57420.5"/>
    <s v="Farm Gate"/>
    <n v="10.65"/>
    <n v="7417.85"/>
    <n v="5253.8070175438597"/>
    <n v="4.1288355645196298E-2"/>
    <n v="611528.32500000007"/>
    <n v="604110.47500000009"/>
    <s v="OK"/>
    <x v="3"/>
    <x v="0"/>
  </r>
  <r>
    <s v="F0054"/>
    <d v="2026-03-18T00:00:00"/>
    <s v="D02"/>
    <s v="C01"/>
    <n v="9.6999999999999993"/>
    <n v="12715.7"/>
    <n v="1525.6"/>
    <n v="11190.1"/>
    <s v="Local Market"/>
    <n v="3.51"/>
    <n v="7142.83"/>
    <n v="1310.896907216495"/>
    <n v="0.11997766540575822"/>
    <n v="39277.250999999997"/>
    <n v="32134.420999999995"/>
    <s v="OK"/>
    <x v="0"/>
    <x v="4"/>
  </r>
  <r>
    <s v="F0086"/>
    <d v="2025-10-12T00:00:00"/>
    <s v="D04"/>
    <s v="C04"/>
    <n v="11.9"/>
    <n v="71616"/>
    <n v="4795.6000000000004"/>
    <n v="66820.399999999994"/>
    <s v="Farm Gate"/>
    <n v="9.26"/>
    <n v="8469.91"/>
    <n v="6018.1512605042017"/>
    <n v="6.6962689901697944E-2"/>
    <n v="618756.90399999998"/>
    <n v="610286.99399999995"/>
    <s v="OK"/>
    <x v="3"/>
    <x v="2"/>
  </r>
  <r>
    <s v="F0083"/>
    <d v="2025-11-06T00:00:00"/>
    <s v="D05"/>
    <s v="C03"/>
    <n v="9.4"/>
    <n v="89698"/>
    <n v="5654.9"/>
    <n v="84043.1"/>
    <s v="Local Market"/>
    <n v="6.2"/>
    <n v="14599.64"/>
    <n v="9542.3404255319147"/>
    <n v="6.3043769091841506E-2"/>
    <n v="521067.22000000003"/>
    <n v="506467.58"/>
    <s v="OK"/>
    <x v="1"/>
    <x v="1"/>
  </r>
  <r>
    <s v="F0044"/>
    <d v="2025-09-19T00:00:00"/>
    <s v="D04"/>
    <s v="C05"/>
    <n v="11.9"/>
    <n v="20102.099999999999"/>
    <n v="1313.7"/>
    <n v="18788.400000000001"/>
    <s v="Wholesaler"/>
    <n v="4.76"/>
    <n v="7766.91"/>
    <n v="1689.252100840336"/>
    <n v="6.5351381198979222E-2"/>
    <n v="89432.784"/>
    <n v="81665.873999999996"/>
    <s v="OK"/>
    <x v="5"/>
    <x v="2"/>
  </r>
  <r>
    <s v="F0085"/>
    <d v="2026-04-02T00:00:00"/>
    <s v="D03"/>
    <s v="C02"/>
    <n v="5.2"/>
    <n v="11478.1"/>
    <n v="469.9"/>
    <n v="11008.2"/>
    <s v="Processor"/>
    <n v="6.42"/>
    <n v="6711.79"/>
    <n v="2207.3269230769229"/>
    <n v="4.0938831339681653E-2"/>
    <n v="70672.644"/>
    <n v="63960.853999999999"/>
    <s v="OK"/>
    <x v="2"/>
    <x v="0"/>
  </r>
  <r>
    <s v="F0179"/>
    <d v="2025-07-28T00:00:00"/>
    <s v="D05"/>
    <s v="C01"/>
    <n v="11.3"/>
    <n v="19047.3"/>
    <n v="1743.4"/>
    <n v="17303.900000000001"/>
    <s v="Wholesaler"/>
    <n v="3.1"/>
    <n v="19990.650000000001"/>
    <n v="1685.6017699115043"/>
    <n v="9.1530033128054897E-2"/>
    <n v="53642.090000000004"/>
    <n v="33651.440000000002"/>
    <s v="OK"/>
    <x v="0"/>
    <x v="1"/>
  </r>
  <r>
    <s v="F0103"/>
    <d v="2026-01-25T00:00:00"/>
    <s v="D03"/>
    <s v="C06"/>
    <n v="1.4"/>
    <n v="6659.8"/>
    <n v="789.7"/>
    <n v="5870.1"/>
    <s v="Processor"/>
    <n v="2.62"/>
    <n v="1698"/>
    <n v="4757"/>
    <n v="0.11857713444848195"/>
    <n v="15379.662000000002"/>
    <n v="13681.662000000002"/>
    <s v="OK"/>
    <x v="4"/>
    <x v="0"/>
  </r>
  <r>
    <s v="F0006"/>
    <d v="2026-04-17T00:00:00"/>
    <s v="D04"/>
    <s v="C06"/>
    <n v="4.0999999999999996"/>
    <n v="16450.599999999999"/>
    <n v="1504.4"/>
    <n v="14946.2"/>
    <s v="Farm Gate"/>
    <n v="2.15"/>
    <n v="4636.3500000000004"/>
    <n v="4012.3414634146343"/>
    <n v="9.1449551992024619E-2"/>
    <n v="32134.33"/>
    <n v="27497.980000000003"/>
    <s v="OK"/>
    <x v="4"/>
    <x v="2"/>
  </r>
  <r>
    <s v="F0094"/>
    <d v="2025-08-05T00:00:00"/>
    <s v="D02"/>
    <s v="C06"/>
    <n v="12.7"/>
    <n v="89808.1"/>
    <n v="7087.7"/>
    <n v="82720.399999999994"/>
    <s v="Local Market"/>
    <n v="2.27"/>
    <n v="12027.1"/>
    <n v="7071.5039370078748"/>
    <n v="7.8920498262406172E-2"/>
    <n v="187775.30799999999"/>
    <n v="175748.20799999998"/>
    <s v="OK"/>
    <x v="4"/>
    <x v="4"/>
  </r>
  <r>
    <s v="F0128"/>
    <d v="2025-08-17T00:00:00"/>
    <s v="D03"/>
    <s v="C04"/>
    <n v="3.6"/>
    <n v="16671.8"/>
    <n v="736.6"/>
    <n v="15935.2"/>
    <s v="Local Market"/>
    <n v="8.41"/>
    <n v="5242.42"/>
    <n v="4631.0555555555557"/>
    <n v="4.4182391823318422E-2"/>
    <n v="134015.03200000001"/>
    <n v="128772.61200000001"/>
    <s v="OK"/>
    <x v="3"/>
    <x v="0"/>
  </r>
  <r>
    <s v="F0003"/>
    <d v="2026-01-16T00:00:00"/>
    <s v="D03"/>
    <s v="C04"/>
    <n v="12.1"/>
    <n v="73158.399999999994"/>
    <n v="6301.6"/>
    <n v="66856.800000000003"/>
    <s v="Wholesaler"/>
    <n v="9.93"/>
    <n v="11018.96"/>
    <n v="6046.1487603305786"/>
    <n v="8.6136383518502335E-2"/>
    <n v="663888.02399999998"/>
    <n v="652869.06400000001"/>
    <s v="OK"/>
    <x v="3"/>
    <x v="0"/>
  </r>
  <r>
    <s v="F0032"/>
    <d v="2025-11-08T00:00:00"/>
    <s v="D03"/>
    <s v="C04"/>
    <n v="8.5"/>
    <n v="53925.4"/>
    <n v="5826.4"/>
    <n v="48099"/>
    <s v="Local Market"/>
    <n v="8.07"/>
    <n v="8154.96"/>
    <n v="6344.1647058823528"/>
    <n v="0.10804555923553649"/>
    <n v="388158.93"/>
    <n v="380003.97"/>
    <s v="OK"/>
    <x v="3"/>
    <x v="0"/>
  </r>
  <r>
    <s v="F0205"/>
    <d v="2025-09-08T00:00:00"/>
    <s v="D01"/>
    <s v="C06"/>
    <n v="1.9"/>
    <n v="14216.5"/>
    <n v="1197.3"/>
    <n v="13019.2"/>
    <s v="Processor"/>
    <n v="2.4900000000000002"/>
    <n v="2727.92"/>
    <n v="7482.3684210526317"/>
    <n v="8.4219041254879889E-2"/>
    <n v="32417.808000000005"/>
    <n v="29689.888000000006"/>
    <s v="OK"/>
    <x v="4"/>
    <x v="3"/>
  </r>
  <r>
    <s v="F0215"/>
    <d v="2025-09-28T00:00:00"/>
    <s v="D03"/>
    <s v="C06"/>
    <n v="11.2"/>
    <n v="46381.7"/>
    <n v="1436.7"/>
    <n v="44945"/>
    <s v="Processor"/>
    <n v="2.39"/>
    <n v="18542.11"/>
    <n v="4141.2232142857147"/>
    <n v="3.0975578730404452E-2"/>
    <n v="107418.55"/>
    <n v="88876.44"/>
    <s v="OK"/>
    <x v="4"/>
    <x v="0"/>
  </r>
  <r>
    <s v="F0147"/>
    <d v="2025-12-09T00:00:00"/>
    <s v="D05"/>
    <s v="C01"/>
    <n v="14.8"/>
    <n v="30106.5"/>
    <n v="1031.9000000000001"/>
    <n v="29074.6"/>
    <s v="Farm Gate"/>
    <n v="3.2"/>
    <n v="17755.099999999999"/>
    <n v="2034.2229729729729"/>
    <n v="3.4274990450567158E-2"/>
    <n v="93038.720000000001"/>
    <n v="75283.62"/>
    <s v="OK"/>
    <x v="0"/>
    <x v="1"/>
  </r>
  <r>
    <s v="F0081"/>
    <d v="2026-03-03T00:00:00"/>
    <s v="D05"/>
    <s v="C01"/>
    <n v="13"/>
    <n v="18772.400000000001"/>
    <n v="2764.7"/>
    <n v="16007.7"/>
    <s v="Processor"/>
    <n v="2.78"/>
    <n v="14795.2"/>
    <n v="1444.0307692307692"/>
    <n v="0.14727472246489526"/>
    <n v="44501.405999999995"/>
    <n v="29706.205999999995"/>
    <s v="OK"/>
    <x v="0"/>
    <x v="1"/>
  </r>
  <r>
    <s v="F0051"/>
    <d v="2026-03-25T00:00:00"/>
    <s v="D05"/>
    <s v="C05"/>
    <n v="4.7"/>
    <n v="7774"/>
    <n v="1143.8"/>
    <n v="6630.2"/>
    <s v="Wholesaler"/>
    <n v="3.98"/>
    <n v="6297.53"/>
    <n v="1654.0425531914893"/>
    <n v="0.14713146385387188"/>
    <n v="26388.196"/>
    <n v="20090.666000000001"/>
    <s v="OK"/>
    <x v="5"/>
    <x v="1"/>
  </r>
  <r>
    <s v="F0036"/>
    <d v="2026-01-28T00:00:00"/>
    <s v="D05"/>
    <s v="C02"/>
    <n v="3.5"/>
    <n v="8014.4"/>
    <n v="1180.7"/>
    <n v="6833.7"/>
    <s v="Processor"/>
    <n v="6.62"/>
    <n v="3918.66"/>
    <n v="2289.8285714285712"/>
    <n v="0.14732231982431623"/>
    <n v="45239.093999999997"/>
    <n v="41320.433999999994"/>
    <s v="OK"/>
    <x v="2"/>
    <x v="1"/>
  </r>
  <r>
    <s v="F0218"/>
    <d v="2026-03-30T00:00:00"/>
    <s v="D03"/>
    <s v="C06"/>
    <n v="10.5"/>
    <n v="45486.3"/>
    <n v="1973.5"/>
    <n v="43512.800000000003"/>
    <s v="Local Market"/>
    <n v="2.59"/>
    <n v="9795.58"/>
    <n v="4332.0285714285719"/>
    <n v="4.3386690058325253E-2"/>
    <n v="112698.152"/>
    <n v="102902.572"/>
    <s v="OK"/>
    <x v="4"/>
    <x v="0"/>
  </r>
  <r>
    <s v="F0212"/>
    <d v="2026-02-11T00:00:00"/>
    <s v="D02"/>
    <s v="C06"/>
    <n v="1.6"/>
    <n v="7357.3"/>
    <n v="564.5"/>
    <n v="6792.8"/>
    <s v="Local Market"/>
    <n v="2.29"/>
    <n v="2080.7199999999998"/>
    <n v="4598.3125"/>
    <n v="7.6726516521006344E-2"/>
    <n v="15555.512000000001"/>
    <n v="13474.792000000001"/>
    <s v="OK"/>
    <x v="4"/>
    <x v="4"/>
  </r>
  <r>
    <s v="F0026"/>
    <d v="2026-02-11T00:00:00"/>
    <s v="D05"/>
    <s v="C06"/>
    <n v="2.2999999999999998"/>
    <n v="12044.7"/>
    <n v="250.4"/>
    <n v="11794.3"/>
    <s v="Wholesaler"/>
    <n v="2.27"/>
    <n v="3835.66"/>
    <n v="5236.8260869565229"/>
    <n v="2.0789226796848404E-2"/>
    <n v="26773.060999999998"/>
    <n v="22937.400999999998"/>
    <s v="OK"/>
    <x v="4"/>
    <x v="1"/>
  </r>
  <r>
    <s v="F0097"/>
    <d v="2026-01-26T00:00:00"/>
    <s v="D05"/>
    <s v="C05"/>
    <n v="10.9"/>
    <n v="13881.5"/>
    <n v="1344.1"/>
    <n v="12537.4"/>
    <s v="Wholesaler"/>
    <n v="3.94"/>
    <n v="17592.96"/>
    <n v="1273.5321100917431"/>
    <n v="9.682671181068328E-2"/>
    <n v="49397.356"/>
    <n v="31804.396000000001"/>
    <s v="OK"/>
    <x v="5"/>
    <x v="1"/>
  </r>
  <r>
    <s v="F0088"/>
    <d v="2025-11-24T00:00:00"/>
    <s v="D01"/>
    <s v="C03"/>
    <n v="9.1"/>
    <n v="57675.1"/>
    <n v="3370.7"/>
    <n v="54304.4"/>
    <s v="Farm Gate"/>
    <n v="6.97"/>
    <n v="15454.81"/>
    <n v="6337.9230769230771"/>
    <n v="5.8442898235113588E-2"/>
    <n v="378501.66800000001"/>
    <n v="363046.85800000001"/>
    <s v="OK"/>
    <x v="1"/>
    <x v="3"/>
  </r>
  <r>
    <s v="F0108"/>
    <d v="2026-06-28T00:00:00"/>
    <s v="D01"/>
    <s v="C01"/>
    <n v="10.3"/>
    <n v="23577.8"/>
    <n v="2208.3000000000002"/>
    <n v="21369.5"/>
    <s v="Wholesaler"/>
    <n v="3.73"/>
    <n v="18063.54"/>
    <n v="2289.1067961165045"/>
    <n v="9.3660137926354456E-2"/>
    <n v="79708.235000000001"/>
    <n v="61644.695"/>
    <s v="OK"/>
    <x v="0"/>
    <x v="3"/>
  </r>
  <r>
    <s v="F0078"/>
    <d v="2025-10-07T00:00:00"/>
    <s v="D01"/>
    <s v="C03"/>
    <n v="7.8"/>
    <n v="49270.1"/>
    <n v="7374.4"/>
    <n v="41895.699999999997"/>
    <s v="Farm Gate"/>
    <n v="5.99"/>
    <n v="10596.26"/>
    <n v="6316.6794871794873"/>
    <n v="0.14967292536447055"/>
    <n v="250955.24299999999"/>
    <n v="240358.98299999998"/>
    <s v="OK"/>
    <x v="1"/>
    <x v="3"/>
  </r>
  <r>
    <s v="F0218"/>
    <d v="2025-07-07T00:00:00"/>
    <s v="D05"/>
    <s v="C02"/>
    <n v="13.7"/>
    <n v="36176.6"/>
    <n v="1556.4"/>
    <n v="34620.199999999997"/>
    <s v="Wholesaler"/>
    <n v="5.98"/>
    <n v="23332.720000000001"/>
    <n v="2640.6277372262775"/>
    <n v="4.3022285123532893E-2"/>
    <n v="207028.796"/>
    <n v="183696.076"/>
    <s v="OK"/>
    <x v="2"/>
    <x v="1"/>
  </r>
  <r>
    <s v="F0091"/>
    <d v="2026-04-11T00:00:00"/>
    <s v="D05"/>
    <s v="C05"/>
    <n v="4.8"/>
    <n v="5718"/>
    <n v="388.6"/>
    <n v="5329.4"/>
    <s v="Local Market"/>
    <n v="4.41"/>
    <n v="8634.68"/>
    <n v="1191.25"/>
    <n v="6.7960825463448768E-2"/>
    <n v="23502.653999999999"/>
    <n v="14867.973999999998"/>
    <s v="OK"/>
    <x v="5"/>
    <x v="1"/>
  </r>
  <r>
    <s v="F0023"/>
    <d v="2026-02-07T00:00:00"/>
    <s v="D05"/>
    <s v="C01"/>
    <n v="12.5"/>
    <n v="15514.5"/>
    <n v="1123.0999999999999"/>
    <n v="14391.4"/>
    <s v="Processor"/>
    <n v="3.02"/>
    <n v="16537.009999999998"/>
    <n v="1241.1600000000001"/>
    <n v="7.239034451642011E-2"/>
    <n v="43462.027999999998"/>
    <n v="26925.018"/>
    <s v="OK"/>
    <x v="0"/>
    <x v="1"/>
  </r>
  <r>
    <s v="F0106"/>
    <d v="2025-12-15T00:00:00"/>
    <s v="D03"/>
    <s v="C03"/>
    <n v="12.2"/>
    <n v="86598"/>
    <n v="8908.7000000000007"/>
    <n v="77689.3"/>
    <s v="Wholesaler"/>
    <n v="6.23"/>
    <n v="17111.169999999998"/>
    <n v="7098.1967213114758"/>
    <n v="0.10287420032795215"/>
    <n v="484004.33900000004"/>
    <n v="466893.16900000005"/>
    <s v="OK"/>
    <x v="1"/>
    <x v="0"/>
  </r>
  <r>
    <s v="F0166"/>
    <d v="2025-07-16T00:00:00"/>
    <s v="D01"/>
    <s v="C06"/>
    <n v="2.5"/>
    <n v="12825.1"/>
    <n v="1082.9000000000001"/>
    <n v="11742.2"/>
    <s v="Wholesaler"/>
    <n v="2.04"/>
    <n v="4235.6000000000004"/>
    <n v="5130.04"/>
    <n v="8.4435988803206213E-2"/>
    <n v="23954.088000000003"/>
    <n v="19718.488000000005"/>
    <s v="OK"/>
    <x v="4"/>
    <x v="3"/>
  </r>
  <r>
    <s v="F0015"/>
    <d v="2026-02-13T00:00:00"/>
    <s v="D04"/>
    <s v="C02"/>
    <n v="2.5"/>
    <n v="7381.5"/>
    <n v="1136.7"/>
    <n v="6244.8"/>
    <s v="Local Market"/>
    <n v="6.03"/>
    <n v="4450.05"/>
    <n v="2952.6"/>
    <n v="0.15399309083519611"/>
    <n v="37656.144"/>
    <n v="33206.093999999997"/>
    <s v="OK"/>
    <x v="2"/>
    <x v="2"/>
  </r>
  <r>
    <s v="F0017"/>
    <d v="2025-08-24T00:00:00"/>
    <s v="D02"/>
    <s v="C01"/>
    <n v="14.9"/>
    <n v="19116"/>
    <n v="749.5"/>
    <n v="18366.5"/>
    <s v="Processor"/>
    <n v="3.55"/>
    <n v="23735.65"/>
    <n v="1282.9530201342282"/>
    <n v="3.9207993304038499E-2"/>
    <n v="65201.074999999997"/>
    <n v="41465.424999999996"/>
    <s v="OK"/>
    <x v="0"/>
    <x v="4"/>
  </r>
  <r>
    <s v="F0061"/>
    <d v="2025-11-18T00:00:00"/>
    <s v="D05"/>
    <s v="C02"/>
    <n v="6.9"/>
    <n v="18221.3"/>
    <n v="1133.3"/>
    <n v="17088"/>
    <s v="Local Market"/>
    <n v="6.04"/>
    <n v="11821.29"/>
    <n v="2640.7681159420285"/>
    <n v="6.2196440429607106E-2"/>
    <n v="103211.52"/>
    <n v="91390.23000000001"/>
    <s v="OK"/>
    <x v="2"/>
    <x v="1"/>
  </r>
  <r>
    <s v="F0053"/>
    <d v="2026-05-09T00:00:00"/>
    <s v="D01"/>
    <s v="C02"/>
    <n v="3.8"/>
    <n v="6993.7"/>
    <n v="897.8"/>
    <n v="6095.9"/>
    <s v="Wholesaler"/>
    <n v="6.8"/>
    <n v="5437.28"/>
    <n v="1840.4473684210527"/>
    <n v="0.12837267826758367"/>
    <n v="41452.119999999995"/>
    <n v="36014.839999999997"/>
    <s v="OK"/>
    <x v="2"/>
    <x v="3"/>
  </r>
  <r>
    <s v="F0044"/>
    <d v="2025-09-30T00:00:00"/>
    <s v="D01"/>
    <s v="C05"/>
    <n v="2.1"/>
    <n v="3626.9"/>
    <n v="249.5"/>
    <n v="3377.4"/>
    <s v="Wholesaler"/>
    <n v="5.26"/>
    <n v="2414.7399999999998"/>
    <n v="1727.0952380952381"/>
    <n v="6.8791529956712338E-2"/>
    <n v="17765.124"/>
    <n v="15350.384"/>
    <s v="OK"/>
    <x v="5"/>
    <x v="3"/>
  </r>
  <r>
    <s v="F0038"/>
    <d v="2025-07-01T00:00:00"/>
    <s v="D05"/>
    <s v="C04"/>
    <n v="10.4"/>
    <n v="41386.699999999997"/>
    <n v="5675.8"/>
    <n v="35710.9"/>
    <s v="Wholesaler"/>
    <n v="10.73"/>
    <n v="14613.8"/>
    <n v="3979.4903846153843"/>
    <n v="0.13714067562767751"/>
    <n v="383177.95700000005"/>
    <n v="368564.15700000006"/>
    <s v="OK"/>
    <x v="3"/>
    <x v="1"/>
  </r>
  <r>
    <s v="F0050"/>
    <d v="2026-06-03T00:00:00"/>
    <s v="D02"/>
    <s v="C06"/>
    <n v="8.5"/>
    <n v="35569.9"/>
    <n v="2476"/>
    <n v="33093.9"/>
    <s v="Local Market"/>
    <n v="2.41"/>
    <n v="9137.4500000000007"/>
    <n v="4184.6941176470591"/>
    <n v="6.9609416950848893E-2"/>
    <n v="79756.299000000014"/>
    <n v="70618.849000000017"/>
    <s v="OK"/>
    <x v="4"/>
    <x v="4"/>
  </r>
  <r>
    <s v="F0082"/>
    <d v="2026-04-16T00:00:00"/>
    <s v="D05"/>
    <s v="C03"/>
    <n v="14.1"/>
    <n v="102270.2"/>
    <n v="11565.8"/>
    <n v="90704.4"/>
    <s v="Processor"/>
    <n v="5.58"/>
    <n v="16917.400000000001"/>
    <n v="7253.2056737588655"/>
    <n v="0.11309061681702001"/>
    <n v="506130.55199999997"/>
    <n v="489213.15199999994"/>
    <s v="OK"/>
    <x v="1"/>
    <x v="1"/>
  </r>
  <r>
    <s v="F0101"/>
    <d v="2025-12-11T00:00:00"/>
    <s v="D04"/>
    <s v="C02"/>
    <n v="4"/>
    <n v="8578.5"/>
    <n v="501.4"/>
    <n v="8077.1"/>
    <s v="Wholesaler"/>
    <n v="6.29"/>
    <n v="4519.3"/>
    <n v="2144.625"/>
    <n v="5.8448446698140699E-2"/>
    <n v="50804.959000000003"/>
    <n v="46285.659"/>
    <s v="OK"/>
    <x v="2"/>
    <x v="2"/>
  </r>
  <r>
    <s v="F0013"/>
    <d v="2026-01-04T00:00:00"/>
    <s v="D01"/>
    <s v="C02"/>
    <n v="2.5"/>
    <n v="5925.5"/>
    <n v="866.9"/>
    <n v="5058.6000000000004"/>
    <s v="Farm Gate"/>
    <n v="6.4"/>
    <n v="2410.33"/>
    <n v="2370.1999999999998"/>
    <n v="0.14629989030461565"/>
    <n v="32375.040000000005"/>
    <n v="29964.710000000006"/>
    <s v="OK"/>
    <x v="2"/>
    <x v="3"/>
  </r>
  <r>
    <s v="F0167"/>
    <d v="2026-03-03T00:00:00"/>
    <s v="D02"/>
    <s v="C04"/>
    <n v="13.1"/>
    <n v="81921.8"/>
    <n v="2906.3"/>
    <n v="79015.5"/>
    <s v="Wholesaler"/>
    <n v="10.14"/>
    <n v="22148.98"/>
    <n v="6253.5725190839703"/>
    <n v="3.5476515408596983E-2"/>
    <n v="801217.17"/>
    <n v="779068.19000000006"/>
    <s v="OK"/>
    <x v="3"/>
    <x v="4"/>
  </r>
  <r>
    <s v="F0013"/>
    <d v="2026-01-19T00:00:00"/>
    <s v="D05"/>
    <s v="C05"/>
    <n v="13.7"/>
    <n v="25724.3"/>
    <n v="1010.4"/>
    <n v="24713.9"/>
    <s v="Farm Gate"/>
    <n v="4.93"/>
    <n v="10716.98"/>
    <n v="1877.6861313868615"/>
    <n v="3.9278036720143988E-2"/>
    <n v="121839.527"/>
    <n v="111122.54700000001"/>
    <s v="OK"/>
    <x v="5"/>
    <x v="1"/>
  </r>
  <r>
    <s v="F0121"/>
    <d v="2026-03-28T00:00:00"/>
    <s v="D03"/>
    <s v="C02"/>
    <n v="2.9"/>
    <n v="8335.5"/>
    <n v="617"/>
    <n v="7718.5"/>
    <s v="Local Market"/>
    <n v="5.85"/>
    <n v="5125.54"/>
    <n v="2874.3103448275865"/>
    <n v="7.4020754603803016E-2"/>
    <n v="45153.224999999999"/>
    <n v="40027.684999999998"/>
    <s v="OK"/>
    <x v="2"/>
    <x v="0"/>
  </r>
  <r>
    <s v="F0052"/>
    <d v="2025-07-17T00:00:00"/>
    <s v="D01"/>
    <s v="C01"/>
    <n v="10.1"/>
    <n v="15986.1"/>
    <n v="1765.8"/>
    <n v="14220.3"/>
    <s v="Wholesaler"/>
    <n v="3.67"/>
    <n v="11152.74"/>
    <n v="1582.7821782178219"/>
    <n v="0.11045846078780941"/>
    <n v="52188.500999999997"/>
    <n v="41035.760999999999"/>
    <s v="OK"/>
    <x v="0"/>
    <x v="3"/>
  </r>
  <r>
    <s v="F0083"/>
    <d v="2025-09-30T00:00:00"/>
    <s v="D02"/>
    <s v="C06"/>
    <n v="4.9000000000000004"/>
    <n v="28105"/>
    <n v="1074.2"/>
    <n v="27030.799999999999"/>
    <s v="Wholesaler"/>
    <n v="2.54"/>
    <n v="7243.95"/>
    <n v="5735.7142857142853"/>
    <n v="3.8220957125066714E-2"/>
    <n v="68658.232000000004"/>
    <n v="61414.282000000007"/>
    <s v="OK"/>
    <x v="4"/>
    <x v="4"/>
  </r>
  <r>
    <s v="F0114"/>
    <d v="2026-01-07T00:00:00"/>
    <s v="D03"/>
    <s v="C04"/>
    <n v="3.7"/>
    <n v="17731.5"/>
    <n v="1403.1"/>
    <n v="16328.4"/>
    <s v="Farm Gate"/>
    <n v="9.9499999999999993"/>
    <n v="4850.9399999999996"/>
    <n v="4792.2972972972975"/>
    <n v="7.9130361221554854E-2"/>
    <n v="162467.57999999999"/>
    <n v="157616.63999999998"/>
    <s v="OK"/>
    <x v="3"/>
    <x v="0"/>
  </r>
  <r>
    <s v="F0143"/>
    <d v="2026-03-29T00:00:00"/>
    <s v="D05"/>
    <s v="C06"/>
    <n v="2.2999999999999998"/>
    <n v="17141"/>
    <n v="542"/>
    <n v="16599"/>
    <s v="Farm Gate"/>
    <n v="2.5099999999999998"/>
    <n v="2651.01"/>
    <n v="7452.6086956521749"/>
    <n v="3.1620092176652473E-2"/>
    <n v="41663.49"/>
    <n v="39012.479999999996"/>
    <s v="OK"/>
    <x v="4"/>
    <x v="1"/>
  </r>
  <r>
    <s v="F0107"/>
    <d v="2025-08-04T00:00:00"/>
    <s v="D03"/>
    <s v="C02"/>
    <n v="8.1999999999999993"/>
    <n v="15579"/>
    <n v="2413.4"/>
    <n v="13165.6"/>
    <s v="Local Market"/>
    <n v="6.11"/>
    <n v="11901.51"/>
    <n v="1899.8780487804879"/>
    <n v="0.15491366583221003"/>
    <n v="80441.816000000006"/>
    <n v="68540.306000000011"/>
    <s v="OK"/>
    <x v="2"/>
    <x v="0"/>
  </r>
  <r>
    <s v="F0135"/>
    <d v="2025-09-13T00:00:00"/>
    <s v="D04"/>
    <s v="C01"/>
    <n v="3.9"/>
    <n v="6034.2"/>
    <n v="892.4"/>
    <n v="5141.8"/>
    <s v="Local Market"/>
    <n v="3.35"/>
    <n v="5961.92"/>
    <n v="1547.2307692307693"/>
    <n v="0.14789035829107422"/>
    <n v="17225.030000000002"/>
    <n v="11263.110000000002"/>
    <s v="OK"/>
    <x v="0"/>
    <x v="2"/>
  </r>
  <r>
    <s v="F0204"/>
    <d v="2025-10-15T00:00:00"/>
    <s v="D01"/>
    <s v="C05"/>
    <n v="7.5"/>
    <n v="13471"/>
    <n v="1830.8"/>
    <n v="11640.2"/>
    <s v="Processor"/>
    <n v="5.0999999999999996"/>
    <n v="10699.31"/>
    <n v="1796.1333333333334"/>
    <n v="0.13590676267537674"/>
    <n v="59365.02"/>
    <n v="48665.71"/>
    <s v="OK"/>
    <x v="5"/>
    <x v="3"/>
  </r>
  <r>
    <s v="F0185"/>
    <d v="2025-12-20T00:00:00"/>
    <s v="D05"/>
    <s v="C01"/>
    <n v="7.2"/>
    <n v="8889.4"/>
    <n v="771.4"/>
    <n v="8118"/>
    <s v="Local Market"/>
    <n v="3.66"/>
    <n v="11598.74"/>
    <n v="1234.6388888888889"/>
    <n v="8.6777510293158139E-2"/>
    <n v="29711.88"/>
    <n v="18113.14"/>
    <s v="OK"/>
    <x v="0"/>
    <x v="1"/>
  </r>
  <r>
    <s v="F0071"/>
    <d v="2026-02-21T00:00:00"/>
    <s v="D04"/>
    <s v="C02"/>
    <n v="12.3"/>
    <n v="24870.1"/>
    <n v="1346.9"/>
    <n v="23523.200000000001"/>
    <s v="Local Market"/>
    <n v="6.62"/>
    <n v="20393.63"/>
    <n v="2021.9593495934957"/>
    <n v="5.4157401860064902E-2"/>
    <n v="155723.584"/>
    <n v="135329.954"/>
    <s v="OK"/>
    <x v="2"/>
    <x v="2"/>
  </r>
  <r>
    <s v="F0131"/>
    <d v="2025-11-21T00:00:00"/>
    <s v="D01"/>
    <s v="C03"/>
    <n v="10.8"/>
    <n v="72230.100000000006"/>
    <n v="2029.9"/>
    <n v="70200.2"/>
    <s v="Wholesaler"/>
    <n v="6.8"/>
    <n v="10867.51"/>
    <n v="6687.9722222222226"/>
    <n v="2.8103242277111619E-2"/>
    <n v="477361.36"/>
    <n v="466493.85"/>
    <s v="OK"/>
    <x v="1"/>
    <x v="3"/>
  </r>
  <r>
    <s v="F0037"/>
    <d v="2026-02-17T00:00:00"/>
    <s v="D01"/>
    <s v="C06"/>
    <n v="5.7"/>
    <n v="34684.300000000003"/>
    <n v="5406.4"/>
    <n v="29277.9"/>
    <s v="Processor"/>
    <n v="2.85"/>
    <n v="7065.25"/>
    <n v="6084.9649122807023"/>
    <n v="0.15587455995940525"/>
    <n v="83442.015000000014"/>
    <n v="76376.765000000014"/>
    <s v="OK"/>
    <x v="4"/>
    <x v="3"/>
  </r>
  <r>
    <s v="F0005"/>
    <d v="2026-04-23T00:00:00"/>
    <s v="D05"/>
    <s v="C05"/>
    <n v="5.6"/>
    <n v="7716.5"/>
    <n v="975.1"/>
    <n v="6741.4"/>
    <s v="Local Market"/>
    <n v="4.33"/>
    <n v="3665.21"/>
    <n v="1377.9464285714287"/>
    <n v="0.12636558025011341"/>
    <n v="29190.261999999999"/>
    <n v="25525.052"/>
    <s v="OK"/>
    <x v="5"/>
    <x v="1"/>
  </r>
  <r>
    <s v="F0124"/>
    <d v="2026-02-06T00:00:00"/>
    <s v="D04"/>
    <s v="C04"/>
    <n v="4.5999999999999996"/>
    <n v="28169.5"/>
    <n v="3717.5"/>
    <n v="24452"/>
    <s v="Farm Gate"/>
    <n v="8.2899999999999991"/>
    <n v="8261.2999999999993"/>
    <n v="6123.804347826087"/>
    <n v="0.13196897353520651"/>
    <n v="202707.08"/>
    <n v="194445.78"/>
    <s v="OK"/>
    <x v="3"/>
    <x v="2"/>
  </r>
  <r>
    <s v="F0044"/>
    <d v="2025-08-09T00:00:00"/>
    <s v="D02"/>
    <s v="C03"/>
    <n v="5.9"/>
    <n v="47879.3"/>
    <n v="3954.1"/>
    <n v="43925.2"/>
    <s v="Wholesaler"/>
    <n v="7.74"/>
    <n v="4771.38"/>
    <n v="8115.1355932203387"/>
    <n v="8.2584749568184998E-2"/>
    <n v="339981.04800000001"/>
    <n v="335209.66800000001"/>
    <s v="OK"/>
    <x v="1"/>
    <x v="4"/>
  </r>
  <r>
    <s v="F0199"/>
    <d v="2025-08-30T00:00:00"/>
    <s v="D05"/>
    <s v="C05"/>
    <n v="6"/>
    <n v="10857.9"/>
    <n v="923.5"/>
    <n v="9934.4"/>
    <s v="Processor"/>
    <n v="4.51"/>
    <n v="5479.79"/>
    <n v="1809.6499999999999"/>
    <n v="8.5053279179215138E-2"/>
    <n v="44804.143999999993"/>
    <n v="39324.353999999992"/>
    <s v="OK"/>
    <x v="5"/>
    <x v="1"/>
  </r>
  <r>
    <s v="F0015"/>
    <d v="2025-10-02T00:00:00"/>
    <s v="D01"/>
    <s v="C01"/>
    <n v="4.5999999999999996"/>
    <n v="8429.5"/>
    <n v="723.4"/>
    <n v="7706.1"/>
    <s v="Processor"/>
    <n v="2.74"/>
    <n v="4928.9399999999996"/>
    <n v="1832.5000000000002"/>
    <n v="8.5817664155643861E-2"/>
    <n v="21114.714000000004"/>
    <n v="16185.774000000005"/>
    <s v="OK"/>
    <x v="0"/>
    <x v="3"/>
  </r>
  <r>
    <s v="F0092"/>
    <d v="2026-02-26T00:00:00"/>
    <s v="D04"/>
    <s v="C02"/>
    <n v="15"/>
    <n v="42073.9"/>
    <n v="5835.1"/>
    <n v="36238.800000000003"/>
    <s v="Processor"/>
    <n v="6.5"/>
    <n v="24259"/>
    <n v="2804.9266666666667"/>
    <n v="0.13868692942655661"/>
    <n v="235552.2"/>
    <n v="211293.2"/>
    <s v="OK"/>
    <x v="2"/>
    <x v="2"/>
  </r>
  <r>
    <s v="F0120"/>
    <d v="2025-08-20T00:00:00"/>
    <s v="D01"/>
    <s v="C05"/>
    <n v="8.3000000000000007"/>
    <n v="12917.2"/>
    <n v="349"/>
    <n v="12568.2"/>
    <s v="Local Market"/>
    <n v="5.04"/>
    <n v="6372.41"/>
    <n v="1556.2891566265059"/>
    <n v="2.7018239246895611E-2"/>
    <n v="63343.728000000003"/>
    <n v="56971.317999999999"/>
    <s v="OK"/>
    <x v="5"/>
    <x v="3"/>
  </r>
  <r>
    <s v="F0194"/>
    <d v="2026-05-16T00:00:00"/>
    <s v="D01"/>
    <s v="C04"/>
    <n v="10.8"/>
    <n v="66981.3"/>
    <n v="7236.7"/>
    <n v="59744.6"/>
    <s v="Processor"/>
    <n v="7.72"/>
    <n v="16142.19"/>
    <n v="6201.9722222222217"/>
    <n v="0.10804060237708135"/>
    <n v="461228.31199999998"/>
    <n v="445086.12199999997"/>
    <s v="OK"/>
    <x v="3"/>
    <x v="3"/>
  </r>
  <r>
    <s v="F0130"/>
    <d v="2025-08-12T00:00:00"/>
    <s v="D03"/>
    <s v="C05"/>
    <n v="10"/>
    <n v="14455.5"/>
    <n v="1619.4"/>
    <n v="12836.1"/>
    <s v="Wholesaler"/>
    <n v="3.98"/>
    <n v="13591.86"/>
    <n v="1445.55"/>
    <n v="0.11202656428349073"/>
    <n v="51087.678"/>
    <n v="37495.817999999999"/>
    <s v="OK"/>
    <x v="5"/>
    <x v="0"/>
  </r>
  <r>
    <s v="F0028"/>
    <d v="2026-03-05T00:00:00"/>
    <s v="D01"/>
    <s v="C04"/>
    <n v="13.6"/>
    <n v="58261.1"/>
    <n v="4618.5"/>
    <n v="53642.6"/>
    <s v="Local Market"/>
    <n v="10.41"/>
    <n v="23921.18"/>
    <n v="4283.9044117647063"/>
    <n v="7.9272447653751812E-2"/>
    <n v="558419.46600000001"/>
    <n v="534498.28599999996"/>
    <s v="OK"/>
    <x v="3"/>
    <x v="3"/>
  </r>
  <r>
    <s v="F0025"/>
    <d v="2026-02-13T00:00:00"/>
    <s v="D04"/>
    <s v="C03"/>
    <n v="12.5"/>
    <n v="98698"/>
    <n v="12500.3"/>
    <n v="86197.7"/>
    <s v="Farm Gate"/>
    <n v="7.56"/>
    <n v="15512.52"/>
    <n v="7895.84"/>
    <n v="0.12665200915925348"/>
    <n v="651654.61199999996"/>
    <n v="636142.09199999995"/>
    <s v="OK"/>
    <x v="1"/>
    <x v="2"/>
  </r>
  <r>
    <s v="F0199"/>
    <d v="2026-06-25T00:00:00"/>
    <s v="D03"/>
    <s v="C05"/>
    <n v="14.3"/>
    <n v="15693.2"/>
    <n v="2020.8"/>
    <n v="13672.4"/>
    <s v="Farm Gate"/>
    <n v="4.59"/>
    <n v="19102.72"/>
    <n v="1097.4265734265734"/>
    <n v="0.12876914842097212"/>
    <n v="62756.315999999999"/>
    <n v="43653.595999999998"/>
    <s v="OK"/>
    <x v="5"/>
    <x v="0"/>
  </r>
  <r>
    <s v="F0065"/>
    <d v="2026-05-14T00:00:00"/>
    <s v="D05"/>
    <s v="C01"/>
    <n v="9.3000000000000007"/>
    <n v="14504.2"/>
    <n v="1481.1"/>
    <n v="13023.1"/>
    <s v="Local Market"/>
    <n v="2.95"/>
    <n v="8256.65"/>
    <n v="1559.5913978494623"/>
    <n v="0.10211524937604279"/>
    <n v="38418.145000000004"/>
    <n v="30161.495000000003"/>
    <s v="OK"/>
    <x v="0"/>
    <x v="1"/>
  </r>
  <r>
    <s v="F0121"/>
    <d v="2026-05-26T00:00:00"/>
    <s v="D03"/>
    <s v="C04"/>
    <n v="10.1"/>
    <n v="42972.800000000003"/>
    <n v="1992.8"/>
    <n v="40980"/>
    <s v="Local Market"/>
    <n v="9.69"/>
    <n v="17031.990000000002"/>
    <n v="4254.7326732673273"/>
    <n v="4.6373519994042739E-2"/>
    <n v="397096.19999999995"/>
    <n v="380064.20999999996"/>
    <s v="OK"/>
    <x v="3"/>
    <x v="0"/>
  </r>
  <r>
    <s v="F0063"/>
    <d v="2025-11-22T00:00:00"/>
    <s v="D04"/>
    <s v="C06"/>
    <n v="1.3"/>
    <n v="5799.5"/>
    <n v="397.9"/>
    <n v="5401.6"/>
    <s v="Local Market"/>
    <n v="2.17"/>
    <n v="1865.54"/>
    <n v="4461.1538461538457"/>
    <n v="6.8609362876110011E-2"/>
    <n v="11721.472"/>
    <n v="9855.9320000000007"/>
    <s v="OK"/>
    <x v="4"/>
    <x v="2"/>
  </r>
  <r>
    <s v="F0008"/>
    <d v="2025-12-18T00:00:00"/>
    <s v="D05"/>
    <s v="C03"/>
    <n v="14"/>
    <n v="81040.899999999994"/>
    <n v="8743.4"/>
    <n v="72297.5"/>
    <s v="Farm Gate"/>
    <n v="6.63"/>
    <n v="16910.05"/>
    <n v="5788.6357142857141"/>
    <n v="0.10788873272631475"/>
    <n v="479332.42499999999"/>
    <n v="462422.375"/>
    <s v="OK"/>
    <x v="1"/>
    <x v="1"/>
  </r>
  <r>
    <s v="F0063"/>
    <d v="2025-07-18T00:00:00"/>
    <s v="D02"/>
    <s v="C05"/>
    <n v="5.9"/>
    <n v="7021.4"/>
    <n v="298.89999999999998"/>
    <n v="6722.5"/>
    <s v="Processor"/>
    <n v="5.25"/>
    <n v="9655.15"/>
    <n v="1190.0677966101694"/>
    <n v="4.2569857863104223E-2"/>
    <n v="35293.125"/>
    <n v="25637.974999999999"/>
    <s v="OK"/>
    <x v="5"/>
    <x v="4"/>
  </r>
  <r>
    <s v="F0188"/>
    <d v="2026-03-06T00:00:00"/>
    <s v="D04"/>
    <s v="C04"/>
    <n v="7.3"/>
    <n v="24529.4"/>
    <n v="675.6"/>
    <n v="23853.8"/>
    <s v="Processor"/>
    <n v="8.93"/>
    <n v="9660.34"/>
    <n v="3360.1917808219182"/>
    <n v="2.7542459252978057E-2"/>
    <n v="213014.43399999998"/>
    <n v="203354.09399999998"/>
    <s v="OK"/>
    <x v="3"/>
    <x v="2"/>
  </r>
  <r>
    <s v="F0060"/>
    <d v="2026-05-21T00:00:00"/>
    <s v="D04"/>
    <s v="C04"/>
    <n v="5.8"/>
    <n v="20918.099999999999"/>
    <n v="2874.7"/>
    <n v="18043.400000000001"/>
    <s v="Processor"/>
    <n v="7.89"/>
    <n v="4472.6899999999996"/>
    <n v="3606.5689655172414"/>
    <n v="0.13742643930376086"/>
    <n v="142362.42600000001"/>
    <n v="137889.736"/>
    <s v="OK"/>
    <x v="3"/>
    <x v="2"/>
  </r>
  <r>
    <s v="F0080"/>
    <d v="2025-09-23T00:00:00"/>
    <s v="D05"/>
    <s v="C02"/>
    <n v="2"/>
    <n v="4322.8999999999996"/>
    <n v="625.70000000000005"/>
    <n v="3697.2"/>
    <s v="Wholesaler"/>
    <n v="6.72"/>
    <n v="1521.92"/>
    <n v="2161.4499999999998"/>
    <n v="0.14474079900067086"/>
    <n v="24845.183999999997"/>
    <n v="23323.263999999996"/>
    <s v="OK"/>
    <x v="2"/>
    <x v="1"/>
  </r>
  <r>
    <s v="F0144"/>
    <d v="2025-12-30T00:00:00"/>
    <s v="D01"/>
    <s v="C02"/>
    <n v="8.5"/>
    <n v="17422.099999999999"/>
    <n v="1307.2"/>
    <n v="16114.9"/>
    <s v="Wholesaler"/>
    <n v="6.01"/>
    <n v="6545.39"/>
    <n v="2049.6588235294116"/>
    <n v="7.5031138611304046E-2"/>
    <n v="96850.548999999999"/>
    <n v="90305.159"/>
    <s v="OK"/>
    <x v="2"/>
    <x v="3"/>
  </r>
  <r>
    <s v="F0166"/>
    <d v="2026-02-16T00:00:00"/>
    <s v="D03"/>
    <s v="C01"/>
    <n v="13.2"/>
    <n v="17045.599999999999"/>
    <n v="1886.9"/>
    <n v="15158.7"/>
    <s v="Processor"/>
    <n v="3.56"/>
    <n v="12215.31"/>
    <n v="1291.3333333333333"/>
    <n v="0.11069718871732297"/>
    <n v="53964.972000000002"/>
    <n v="41749.662000000004"/>
    <s v="OK"/>
    <x v="0"/>
    <x v="0"/>
  </r>
  <r>
    <s v="F0178"/>
    <d v="2025-07-27T00:00:00"/>
    <s v="D04"/>
    <s v="C06"/>
    <n v="13"/>
    <n v="74797.399999999994"/>
    <n v="6185.5"/>
    <n v="68611.899999999994"/>
    <s v="Local Market"/>
    <n v="2.61"/>
    <n v="9877.5"/>
    <n v="5753.6461538461535"/>
    <n v="8.2696724752464659E-2"/>
    <n v="179077.05899999998"/>
    <n v="169199.55899999998"/>
    <s v="OK"/>
    <x v="4"/>
    <x v="2"/>
  </r>
  <r>
    <s v="F0154"/>
    <d v="2026-03-07T00:00:00"/>
    <s v="D02"/>
    <s v="C01"/>
    <n v="14.3"/>
    <n v="33232.199999999997"/>
    <n v="3761"/>
    <n v="29471.200000000001"/>
    <s v="Local Market"/>
    <n v="3.64"/>
    <n v="16186.2"/>
    <n v="2323.9300699300697"/>
    <n v="0.11317336799850748"/>
    <n v="107275.16800000001"/>
    <n v="91088.968000000008"/>
    <s v="OK"/>
    <x v="0"/>
    <x v="4"/>
  </r>
  <r>
    <s v="F0204"/>
    <d v="2026-02-21T00:00:00"/>
    <s v="D05"/>
    <s v="C06"/>
    <n v="6.5"/>
    <n v="41653.199999999997"/>
    <n v="5950.2"/>
    <n v="35703"/>
    <s v="Farm Gate"/>
    <n v="2.72"/>
    <n v="6667.76"/>
    <n v="6408.1846153846145"/>
    <n v="0.14285096943332085"/>
    <n v="97112.16"/>
    <n v="90444.400000000009"/>
    <s v="OK"/>
    <x v="4"/>
    <x v="1"/>
  </r>
  <r>
    <s v="F0066"/>
    <d v="2025-11-06T00:00:00"/>
    <s v="D05"/>
    <s v="C05"/>
    <n v="9.6"/>
    <n v="13948.6"/>
    <n v="279"/>
    <n v="13669.6"/>
    <s v="Processor"/>
    <n v="4.1500000000000004"/>
    <n v="7906.71"/>
    <n v="1452.9791666666667"/>
    <n v="2.000200736991526E-2"/>
    <n v="56728.840000000004"/>
    <n v="48822.130000000005"/>
    <s v="OK"/>
    <x v="5"/>
    <x v="1"/>
  </r>
  <r>
    <s v="F0183"/>
    <d v="2026-01-10T00:00:00"/>
    <s v="D02"/>
    <s v="C04"/>
    <n v="14.1"/>
    <n v="74796.600000000006"/>
    <n v="10325.4"/>
    <n v="64471.199999999997"/>
    <s v="Farm Gate"/>
    <n v="10.23"/>
    <n v="16731.810000000001"/>
    <n v="5304.72340425532"/>
    <n v="0.13804638178740744"/>
    <n v="659540.37600000005"/>
    <n v="642808.56599999999"/>
    <s v="OK"/>
    <x v="3"/>
    <x v="4"/>
  </r>
  <r>
    <s v="F0081"/>
    <d v="2026-04-03T00:00:00"/>
    <s v="D01"/>
    <s v="C04"/>
    <n v="14.1"/>
    <n v="50531.6"/>
    <n v="3294.8"/>
    <n v="47236.800000000003"/>
    <s v="Local Market"/>
    <n v="8.44"/>
    <n v="19824.54"/>
    <n v="3583.8014184397161"/>
    <n v="6.5202764210909619E-2"/>
    <n v="398678.592"/>
    <n v="378854.05200000003"/>
    <s v="OK"/>
    <x v="3"/>
    <x v="3"/>
  </r>
  <r>
    <s v="F0056"/>
    <d v="2026-04-29T00:00:00"/>
    <s v="D01"/>
    <s v="C04"/>
    <n v="5.6"/>
    <n v="27440.799999999999"/>
    <n v="1919.9"/>
    <n v="25520.9"/>
    <s v="Wholesaler"/>
    <n v="7.98"/>
    <n v="9679.98"/>
    <n v="4900.1428571428569"/>
    <n v="6.996516136555786E-2"/>
    <n v="203656.78200000004"/>
    <n v="193976.80200000003"/>
    <s v="OK"/>
    <x v="3"/>
    <x v="3"/>
  </r>
  <r>
    <s v="F0048"/>
    <d v="2025-12-03T00:00:00"/>
    <s v="D05"/>
    <s v="C04"/>
    <n v="3.2"/>
    <n v="20272.7"/>
    <n v="456.5"/>
    <n v="19816.2"/>
    <s v="Processor"/>
    <n v="8.41"/>
    <n v="3209.57"/>
    <n v="6335.21875"/>
    <n v="2.2517967512960778E-2"/>
    <n v="166654.242"/>
    <n v="163444.67199999999"/>
    <s v="OK"/>
    <x v="3"/>
    <x v="1"/>
  </r>
  <r>
    <s v="F0164"/>
    <d v="2025-12-12T00:00:00"/>
    <s v="D02"/>
    <s v="C03"/>
    <n v="9.1999999999999993"/>
    <n v="88979.8"/>
    <n v="9037"/>
    <n v="79942.8"/>
    <s v="Processor"/>
    <n v="6.56"/>
    <n v="10371.91"/>
    <n v="9671.717391304348"/>
    <n v="0.10156237707884261"/>
    <n v="524424.76800000004"/>
    <n v="514052.85800000007"/>
    <s v="OK"/>
    <x v="1"/>
    <x v="4"/>
  </r>
  <r>
    <s v="F0047"/>
    <d v="2026-02-07T00:00:00"/>
    <s v="D02"/>
    <s v="C02"/>
    <n v="3.9"/>
    <n v="10155"/>
    <n v="1249.2"/>
    <n v="8905.7999999999993"/>
    <s v="Farm Gate"/>
    <n v="6.47"/>
    <n v="5959.01"/>
    <n v="2603.8461538461538"/>
    <n v="0.12301329394387002"/>
    <n v="57620.525999999991"/>
    <n v="51661.515999999989"/>
    <s v="OK"/>
    <x v="2"/>
    <x v="4"/>
  </r>
  <r>
    <s v="F0103"/>
    <d v="2026-04-22T00:00:00"/>
    <s v="D01"/>
    <s v="C02"/>
    <n v="12.8"/>
    <n v="22156.6"/>
    <n v="1404.3"/>
    <n v="20752.3"/>
    <s v="Farm Gate"/>
    <n v="4.9400000000000004"/>
    <n v="9630.34"/>
    <n v="1730.9843749999998"/>
    <n v="6.3380663098128773E-2"/>
    <n v="102516.36200000001"/>
    <n v="92886.022000000012"/>
    <s v="OK"/>
    <x v="2"/>
    <x v="3"/>
  </r>
  <r>
    <s v="F0166"/>
    <d v="2026-03-04T00:00:00"/>
    <s v="D03"/>
    <s v="C03"/>
    <n v="10.9"/>
    <n v="76626.399999999994"/>
    <n v="12244.6"/>
    <n v="64381.8"/>
    <s v="Processor"/>
    <n v="5.91"/>
    <n v="16185.13"/>
    <n v="7029.9449541284393"/>
    <n v="0.15979610160466889"/>
    <n v="380496.43800000002"/>
    <n v="364311.30800000002"/>
    <s v="OK"/>
    <x v="1"/>
    <x v="0"/>
  </r>
  <r>
    <s v="F0177"/>
    <d v="2026-01-12T00:00:00"/>
    <s v="D04"/>
    <s v="C04"/>
    <n v="10.9"/>
    <n v="35377.9"/>
    <n v="2049.9"/>
    <n v="33328"/>
    <s v="Farm Gate"/>
    <n v="7.9"/>
    <n v="17417.150000000001"/>
    <n v="3245.6788990825689"/>
    <n v="5.7942953086531419E-2"/>
    <n v="263291.2"/>
    <n v="245874.05000000002"/>
    <s v="OK"/>
    <x v="3"/>
    <x v="2"/>
  </r>
  <r>
    <s v="F0154"/>
    <d v="2026-05-01T00:00:00"/>
    <s v="D01"/>
    <s v="C01"/>
    <n v="13.8"/>
    <n v="31728.9"/>
    <n v="1354.9"/>
    <n v="30374"/>
    <s v="Processor"/>
    <n v="3.37"/>
    <n v="17145.740000000002"/>
    <n v="2299.195652173913"/>
    <n v="4.2702394347109415E-2"/>
    <n v="102360.38"/>
    <n v="85214.64"/>
    <s v="OK"/>
    <x v="0"/>
    <x v="3"/>
  </r>
  <r>
    <s v="F0142"/>
    <d v="2026-06-07T00:00:00"/>
    <s v="D02"/>
    <s v="C01"/>
    <n v="11.9"/>
    <n v="27606.5"/>
    <n v="3271.7"/>
    <n v="24334.799999999999"/>
    <s v="Local Market"/>
    <n v="3.15"/>
    <n v="13471.48"/>
    <n v="2319.8739495798318"/>
    <n v="0.11851194465071631"/>
    <n v="76654.62"/>
    <n v="63183.14"/>
    <s v="OK"/>
    <x v="0"/>
    <x v="4"/>
  </r>
  <r>
    <s v="F0086"/>
    <d v="2025-08-14T00:00:00"/>
    <s v="D03"/>
    <s v="C03"/>
    <n v="7.6"/>
    <n v="40733.699999999997"/>
    <n v="2377.3000000000002"/>
    <n v="38356.400000000001"/>
    <s v="Farm Gate"/>
    <n v="7.18"/>
    <n v="6309.44"/>
    <n v="5359.6973684210525"/>
    <n v="5.8361995104790391E-2"/>
    <n v="275398.95199999999"/>
    <n v="269089.51199999999"/>
    <s v="OK"/>
    <x v="1"/>
    <x v="0"/>
  </r>
  <r>
    <s v="F0140"/>
    <d v="2025-07-04T00:00:00"/>
    <s v="D04"/>
    <s v="C02"/>
    <n v="12.8"/>
    <n v="32939.300000000003"/>
    <n v="4094.4"/>
    <n v="28844.9"/>
    <s v="Local Market"/>
    <n v="5.88"/>
    <n v="19182.2"/>
    <n v="2573.3828125"/>
    <n v="0.124301366452839"/>
    <n v="169608.01200000002"/>
    <n v="150425.81200000001"/>
    <s v="OK"/>
    <x v="2"/>
    <x v="2"/>
  </r>
  <r>
    <s v="F0118"/>
    <d v="2025-12-29T00:00:00"/>
    <s v="D01"/>
    <s v="C01"/>
    <n v="8.6999999999999993"/>
    <n v="15280.1"/>
    <n v="1535.9"/>
    <n v="13744.2"/>
    <s v="Wholesaler"/>
    <n v="3.32"/>
    <n v="11269.81"/>
    <n v="1756.3333333333335"/>
    <n v="0.10051635787723903"/>
    <n v="45630.743999999999"/>
    <n v="34360.934000000001"/>
    <s v="OK"/>
    <x v="0"/>
    <x v="3"/>
  </r>
  <r>
    <s v="F0142"/>
    <d v="2025-09-01T00:00:00"/>
    <s v="D05"/>
    <s v="C02"/>
    <n v="4.7"/>
    <n v="9376.2999999999993"/>
    <n v="1409.6"/>
    <n v="7966.7"/>
    <s v="Processor"/>
    <n v="5.25"/>
    <n v="4861"/>
    <n v="1994.9574468085104"/>
    <n v="0.15033648667384789"/>
    <n v="41825.174999999996"/>
    <n v="36964.174999999996"/>
    <s v="OK"/>
    <x v="2"/>
    <x v="1"/>
  </r>
  <r>
    <s v="F0070"/>
    <d v="2025-07-31T00:00:00"/>
    <s v="D01"/>
    <s v="C05"/>
    <n v="6.4"/>
    <n v="11518.4"/>
    <n v="246"/>
    <n v="11272.4"/>
    <s v="Local Market"/>
    <n v="4.03"/>
    <n v="6398"/>
    <n v="1799.7499999999998"/>
    <n v="2.1357132935129881E-2"/>
    <n v="45427.772000000004"/>
    <n v="39029.772000000004"/>
    <s v="OK"/>
    <x v="5"/>
    <x v="3"/>
  </r>
  <r>
    <s v="F0053"/>
    <d v="2026-06-14T00:00:00"/>
    <s v="D05"/>
    <s v="C06"/>
    <n v="12.6"/>
    <n v="100047.9"/>
    <n v="8136.3"/>
    <n v="91911.6"/>
    <s v="Wholesaler"/>
    <n v="2.4300000000000002"/>
    <n v="19189.03"/>
    <n v="7940.3095238095239"/>
    <n v="8.1324045782070392E-2"/>
    <n v="223345.18800000002"/>
    <n v="204156.15800000002"/>
    <s v="OK"/>
    <x v="4"/>
    <x v="1"/>
  </r>
  <r>
    <s v="F0105"/>
    <d v="2025-11-15T00:00:00"/>
    <s v="D03"/>
    <s v="C06"/>
    <n v="4.0999999999999996"/>
    <n v="19305.7"/>
    <n v="1453.3"/>
    <n v="17852.400000000001"/>
    <s v="Wholesaler"/>
    <n v="2.17"/>
    <n v="5057.9399999999996"/>
    <n v="4708.707317073171"/>
    <n v="7.5278285687646648E-2"/>
    <n v="38739.707999999999"/>
    <n v="33681.767999999996"/>
    <s v="OK"/>
    <x v="4"/>
    <x v="0"/>
  </r>
  <r>
    <s v="F0048"/>
    <d v="2026-01-16T00:00:00"/>
    <s v="D05"/>
    <s v="C06"/>
    <n v="13.4"/>
    <n v="90113.2"/>
    <n v="4212.1000000000004"/>
    <n v="85901.1"/>
    <s v="Farm Gate"/>
    <n v="2.78"/>
    <n v="11807.1"/>
    <n v="6724.8656716417909"/>
    <n v="4.6742319660160778E-2"/>
    <n v="238805.05799999999"/>
    <n v="226997.95799999998"/>
    <s v="OK"/>
    <x v="4"/>
    <x v="1"/>
  </r>
  <r>
    <s v="F0081"/>
    <d v="2026-04-23T00:00:00"/>
    <s v="D03"/>
    <s v="C02"/>
    <n v="9.9"/>
    <n v="16746.2"/>
    <n v="2635.9"/>
    <n v="14110.3"/>
    <s v="Local Market"/>
    <n v="6.34"/>
    <n v="10109.200000000001"/>
    <n v="1691.5353535353536"/>
    <n v="0.15740287348771662"/>
    <n v="89459.301999999996"/>
    <n v="79350.101999999999"/>
    <s v="OK"/>
    <x v="2"/>
    <x v="0"/>
  </r>
  <r>
    <s v="F0174"/>
    <d v="2026-01-23T00:00:00"/>
    <s v="D02"/>
    <s v="C04"/>
    <n v="7.5"/>
    <n v="36969.800000000003"/>
    <n v="3600"/>
    <n v="33369.800000000003"/>
    <s v="Processor"/>
    <n v="10"/>
    <n v="9387.59"/>
    <n v="4929.3066666666673"/>
    <n v="9.7376777802422515E-2"/>
    <n v="333698"/>
    <n v="324310.40999999997"/>
    <s v="OK"/>
    <x v="3"/>
    <x v="4"/>
  </r>
  <r>
    <s v="F0192"/>
    <d v="2025-11-08T00:00:00"/>
    <s v="D01"/>
    <s v="C06"/>
    <n v="5.7"/>
    <n v="42260.9"/>
    <n v="2719.7"/>
    <n v="39541.199999999997"/>
    <s v="Wholesaler"/>
    <n v="2.63"/>
    <n v="8305.85"/>
    <n v="7414.1929824561403"/>
    <n v="6.4354994806073693E-2"/>
    <n v="103993.35599999999"/>
    <n v="95687.505999999979"/>
    <s v="OK"/>
    <x v="4"/>
    <x v="3"/>
  </r>
  <r>
    <s v="F0079"/>
    <d v="2025-12-30T00:00:00"/>
    <s v="D05"/>
    <s v="C06"/>
    <n v="7.8"/>
    <n v="33518.300000000003"/>
    <n v="3703.7"/>
    <n v="29814.6"/>
    <s v="Farm Gate"/>
    <n v="2.2000000000000002"/>
    <n v="9715.98"/>
    <n v="4297.2179487179492"/>
    <n v="0.11049784744453028"/>
    <n v="65592.12"/>
    <n v="55876.14"/>
    <s v="OK"/>
    <x v="4"/>
    <x v="1"/>
  </r>
  <r>
    <s v="F0107"/>
    <d v="2025-07-13T00:00:00"/>
    <s v="D02"/>
    <s v="C04"/>
    <n v="1"/>
    <n v="4045.8"/>
    <n v="143.30000000000001"/>
    <n v="3902.5"/>
    <s v="Wholesaler"/>
    <n v="7.99"/>
    <n v="958.5"/>
    <n v="4045.8"/>
    <n v="3.541944732809333E-2"/>
    <n v="31180.975000000002"/>
    <n v="30222.475000000002"/>
    <s v="OK"/>
    <x v="3"/>
    <x v="4"/>
  </r>
  <r>
    <s v="F0125"/>
    <d v="2025-12-08T00:00:00"/>
    <s v="D04"/>
    <s v="C06"/>
    <n v="2.4"/>
    <n v="18277.8"/>
    <n v="1686.8"/>
    <n v="16591"/>
    <s v="Farm Gate"/>
    <n v="2.2799999999999998"/>
    <n v="3935.31"/>
    <n v="7615.75"/>
    <n v="9.2286817888367303E-2"/>
    <n v="37827.479999999996"/>
    <n v="33892.17"/>
    <s v="OK"/>
    <x v="4"/>
    <x v="2"/>
  </r>
  <r>
    <s v="F0181"/>
    <d v="2026-05-29T00:00:00"/>
    <s v="D03"/>
    <s v="C02"/>
    <n v="6.7"/>
    <n v="17559.8"/>
    <n v="1331.5"/>
    <n v="16228.3"/>
    <s v="Farm Gate"/>
    <n v="5.66"/>
    <n v="9936.66"/>
    <n v="2620.8656716417909"/>
    <n v="7.5826603947653171E-2"/>
    <n v="91852.178"/>
    <n v="81915.517999999996"/>
    <s v="OK"/>
    <x v="2"/>
    <x v="0"/>
  </r>
  <r>
    <s v="F0194"/>
    <d v="2025-12-05T00:00:00"/>
    <s v="D02"/>
    <s v="C06"/>
    <n v="13.9"/>
    <n v="68338.3"/>
    <n v="4061"/>
    <n v="64277.3"/>
    <s v="Processor"/>
    <n v="2.35"/>
    <n v="17721.810000000001"/>
    <n v="4916.4244604316546"/>
    <n v="5.9424949113454681E-2"/>
    <n v="151051.655"/>
    <n v="133329.845"/>
    <s v="OK"/>
    <x v="4"/>
    <x v="4"/>
  </r>
  <r>
    <s v="F0031"/>
    <d v="2025-11-02T00:00:00"/>
    <s v="D04"/>
    <s v="C05"/>
    <n v="1.5"/>
    <n v="1464.9"/>
    <n v="98.8"/>
    <n v="1366.1"/>
    <s v="Processor"/>
    <n v="5.2"/>
    <n v="1529.77"/>
    <n v="976.6"/>
    <n v="6.744487678339818E-2"/>
    <n v="7103.7199999999993"/>
    <n v="5573.9499999999989"/>
    <s v="OK"/>
    <x v="5"/>
    <x v="2"/>
  </r>
  <r>
    <s v="F0150"/>
    <d v="2025-12-02T00:00:00"/>
    <s v="D01"/>
    <s v="C01"/>
    <n v="5.9"/>
    <n v="10165.6"/>
    <n v="863.8"/>
    <n v="9301.7999999999993"/>
    <s v="Processor"/>
    <n v="3.51"/>
    <n v="10063.58"/>
    <n v="1722.9830508474577"/>
    <n v="8.4972849610450929E-2"/>
    <n v="32649.317999999996"/>
    <n v="22585.737999999998"/>
    <s v="OK"/>
    <x v="0"/>
    <x v="3"/>
  </r>
  <r>
    <s v="F0150"/>
    <d v="2026-02-22T00:00:00"/>
    <s v="D03"/>
    <s v="C04"/>
    <n v="7"/>
    <n v="39532.199999999997"/>
    <n v="3315.2"/>
    <n v="36217"/>
    <s v="Local Market"/>
    <n v="9.94"/>
    <n v="7764.39"/>
    <n v="5647.4571428571426"/>
    <n v="8.3860751488659874E-2"/>
    <n v="359996.98"/>
    <n v="352232.58999999997"/>
    <s v="OK"/>
    <x v="3"/>
    <x v="0"/>
  </r>
  <r>
    <s v="F0215"/>
    <d v="2025-11-12T00:00:00"/>
    <s v="D01"/>
    <s v="C03"/>
    <n v="7.2"/>
    <n v="60628.9"/>
    <n v="2324.3000000000002"/>
    <n v="58304.6"/>
    <s v="Wholesaler"/>
    <n v="7.2"/>
    <n v="12362.33"/>
    <n v="8420.6805555555547"/>
    <n v="3.8336502888886327E-2"/>
    <n v="419793.12"/>
    <n v="407430.79"/>
    <s v="OK"/>
    <x v="1"/>
    <x v="3"/>
  </r>
  <r>
    <s v="F0166"/>
    <d v="2026-05-21T00:00:00"/>
    <s v="D02"/>
    <s v="C03"/>
    <n v="14.5"/>
    <n v="73032.600000000006"/>
    <n v="5264.9"/>
    <n v="67767.7"/>
    <s v="Farm Gate"/>
    <n v="6.33"/>
    <n v="21433.07"/>
    <n v="5036.7310344827592"/>
    <n v="7.2089724314894979E-2"/>
    <n v="428969.54099999997"/>
    <n v="407536.47099999996"/>
    <s v="OK"/>
    <x v="1"/>
    <x v="4"/>
  </r>
  <r>
    <s v="F0118"/>
    <d v="2025-07-16T00:00:00"/>
    <s v="D05"/>
    <s v="C03"/>
    <n v="11.7"/>
    <n v="78102.3"/>
    <n v="3903.5"/>
    <n v="74198.8"/>
    <s v="Wholesaler"/>
    <n v="6.5"/>
    <n v="19960.66"/>
    <n v="6675.4102564102568"/>
    <n v="4.9979321991797936E-2"/>
    <n v="482292.2"/>
    <n v="462331.54000000004"/>
    <s v="OK"/>
    <x v="1"/>
    <x v="1"/>
  </r>
  <r>
    <s v="F0161"/>
    <d v="2026-05-01T00:00:00"/>
    <s v="D01"/>
    <s v="C02"/>
    <n v="13.2"/>
    <n v="24323.5"/>
    <n v="3660.9"/>
    <n v="20662.599999999999"/>
    <s v="Processor"/>
    <n v="5.52"/>
    <n v="16108.13"/>
    <n v="1842.689393939394"/>
    <n v="0.15050876724155651"/>
    <n v="114057.55199999998"/>
    <n v="97949.421999999977"/>
    <s v="OK"/>
    <x v="2"/>
    <x v="3"/>
  </r>
  <r>
    <s v="F0219"/>
    <d v="2026-04-03T00:00:00"/>
    <s v="D02"/>
    <s v="C05"/>
    <n v="3.1"/>
    <n v="4352.3999999999996"/>
    <n v="652.79999999999995"/>
    <n v="3699.6"/>
    <s v="Wholesaler"/>
    <n v="4.91"/>
    <n v="3679.24"/>
    <n v="1403.9999999999998"/>
    <n v="0.14998621450234353"/>
    <n v="18165.036"/>
    <n v="14485.796"/>
    <s v="OK"/>
    <x v="5"/>
    <x v="4"/>
  </r>
  <r>
    <s v="F0050"/>
    <d v="2026-06-28T00:00:00"/>
    <s v="D01"/>
    <s v="C03"/>
    <n v="14.3"/>
    <n v="143731.5"/>
    <n v="20451.900000000001"/>
    <n v="123279.6"/>
    <s v="Local Market"/>
    <n v="5.69"/>
    <n v="17047.169999999998"/>
    <n v="10051.153846153846"/>
    <n v="0.14229239936965801"/>
    <n v="701460.92400000012"/>
    <n v="684413.75400000007"/>
    <s v="OK"/>
    <x v="1"/>
    <x v="3"/>
  </r>
  <r>
    <s v="F0174"/>
    <d v="2025-11-26T00:00:00"/>
    <s v="D04"/>
    <s v="C02"/>
    <n v="14"/>
    <n v="28959.5"/>
    <n v="3737.4"/>
    <n v="25222.1"/>
    <s v="Processor"/>
    <n v="5.36"/>
    <n v="9895.19"/>
    <n v="2068.5357142857142"/>
    <n v="0.12905609558176073"/>
    <n v="135190.45600000001"/>
    <n v="125295.266"/>
    <s v="OK"/>
    <x v="2"/>
    <x v="2"/>
  </r>
  <r>
    <s v="F0034"/>
    <d v="2026-03-09T00:00:00"/>
    <s v="D01"/>
    <s v="C03"/>
    <n v="13.2"/>
    <n v="96479.2"/>
    <n v="14716.9"/>
    <n v="81762.3"/>
    <s v="Wholesaler"/>
    <n v="5.83"/>
    <n v="13481"/>
    <n v="7309.030303030303"/>
    <n v="0.15253961475634126"/>
    <n v="476674.20900000003"/>
    <n v="463193.20900000003"/>
    <s v="OK"/>
    <x v="1"/>
    <x v="3"/>
  </r>
  <r>
    <s v="F0089"/>
    <d v="2025-11-27T00:00:00"/>
    <s v="D05"/>
    <s v="C02"/>
    <n v="6.6"/>
    <n v="13237.3"/>
    <n v="1952"/>
    <n v="11285.3"/>
    <s v="Processor"/>
    <n v="6.56"/>
    <n v="10941.22"/>
    <n v="2005.6515151515152"/>
    <n v="0.14746209574460048"/>
    <n v="74031.567999999985"/>
    <n v="63090.347999999984"/>
    <s v="OK"/>
    <x v="2"/>
    <x v="1"/>
  </r>
  <r>
    <s v="F0188"/>
    <d v="2026-04-12T00:00:00"/>
    <s v="D04"/>
    <s v="C01"/>
    <n v="5.5"/>
    <n v="6519.1"/>
    <n v="560.70000000000005"/>
    <n v="5958.4"/>
    <s v="Local Market"/>
    <n v="3.63"/>
    <n v="6648.8"/>
    <n v="1185.2909090909091"/>
    <n v="8.6008804896381408E-2"/>
    <n v="21628.991999999998"/>
    <n v="14980.191999999999"/>
    <s v="OK"/>
    <x v="0"/>
    <x v="2"/>
  </r>
  <r>
    <s v="F0097"/>
    <d v="2025-09-19T00:00:00"/>
    <s v="D04"/>
    <s v="C05"/>
    <n v="14.6"/>
    <n v="18208.599999999999"/>
    <n v="1359.8"/>
    <n v="16848.8"/>
    <s v="Farm Gate"/>
    <n v="3.91"/>
    <n v="15292.49"/>
    <n v="1247.1643835616437"/>
    <n v="7.4678997836187297E-2"/>
    <n v="65878.808000000005"/>
    <n v="50586.318000000007"/>
    <s v="OK"/>
    <x v="5"/>
    <x v="2"/>
  </r>
  <r>
    <s v="F0072"/>
    <d v="2025-12-29T00:00:00"/>
    <s v="D04"/>
    <s v="C02"/>
    <n v="8.1999999999999993"/>
    <n v="21435.8"/>
    <n v="1133"/>
    <n v="20302.8"/>
    <s v="Farm Gate"/>
    <n v="5.01"/>
    <n v="5457.63"/>
    <n v="2614.1219512195125"/>
    <n v="5.2855503410182969E-2"/>
    <n v="101717.02799999999"/>
    <n v="96259.397999999986"/>
    <s v="OK"/>
    <x v="2"/>
    <x v="2"/>
  </r>
  <r>
    <s v="F0059"/>
    <d v="2025-09-21T00:00:00"/>
    <s v="D01"/>
    <s v="C04"/>
    <n v="14.6"/>
    <n v="76661.8"/>
    <n v="7934.3"/>
    <n v="68727.5"/>
    <s v="Farm Gate"/>
    <n v="8.6300000000000008"/>
    <n v="16733.650000000001"/>
    <n v="5250.8082191780823"/>
    <n v="0.10349743940267513"/>
    <n v="593118.32500000007"/>
    <n v="576384.67500000005"/>
    <s v="OK"/>
    <x v="3"/>
    <x v="3"/>
  </r>
  <r>
    <s v="F0002"/>
    <d v="2026-02-05T00:00:00"/>
    <s v="D04"/>
    <s v="C05"/>
    <n v="4.0999999999999996"/>
    <n v="5721"/>
    <n v="280.2"/>
    <n v="5440.8"/>
    <s v="Farm Gate"/>
    <n v="5.25"/>
    <n v="6118.64"/>
    <n v="1395.3658536585367"/>
    <n v="4.8977451494493965E-2"/>
    <n v="28564.2"/>
    <n v="22445.56"/>
    <s v="OK"/>
    <x v="5"/>
    <x v="2"/>
  </r>
  <r>
    <s v="F0164"/>
    <d v="2025-08-02T00:00:00"/>
    <s v="D05"/>
    <s v="C02"/>
    <n v="11.3"/>
    <n v="30057"/>
    <n v="2956.9"/>
    <n v="27100.1"/>
    <s v="Wholesaler"/>
    <n v="5.59"/>
    <n v="14309.68"/>
    <n v="2659.9115044247787"/>
    <n v="9.8376418138869479E-2"/>
    <n v="151489.55899999998"/>
    <n v="137179.87899999999"/>
    <s v="OK"/>
    <x v="2"/>
    <x v="1"/>
  </r>
  <r>
    <s v="F0003"/>
    <d v="2026-04-21T00:00:00"/>
    <s v="D04"/>
    <s v="C06"/>
    <n v="7.6"/>
    <n v="47835.199999999997"/>
    <n v="2429.1999999999998"/>
    <n v="45406"/>
    <s v="Farm Gate"/>
    <n v="2.0699999999999998"/>
    <n v="5818.78"/>
    <n v="6294.105263157895"/>
    <n v="5.078268722614309E-2"/>
    <n v="93990.42"/>
    <n v="88171.64"/>
    <s v="OK"/>
    <x v="4"/>
    <x v="2"/>
  </r>
  <r>
    <s v="F0032"/>
    <d v="2025-08-16T00:00:00"/>
    <s v="D04"/>
    <s v="C03"/>
    <n v="3.5"/>
    <n v="22771.3"/>
    <n v="2350.4"/>
    <n v="20420.900000000001"/>
    <s v="Farm Gate"/>
    <n v="6.1"/>
    <n v="4477.34"/>
    <n v="6506.0857142857139"/>
    <n v="0.10321764677466812"/>
    <n v="124567.49"/>
    <n v="120090.15000000001"/>
    <s v="OK"/>
    <x v="1"/>
    <x v="2"/>
  </r>
  <r>
    <s v="F0192"/>
    <d v="2025-12-01T00:00:00"/>
    <s v="D03"/>
    <s v="C03"/>
    <n v="4.5999999999999996"/>
    <n v="46047.5"/>
    <n v="2948.3"/>
    <n v="43099.199999999997"/>
    <s v="Wholesaler"/>
    <n v="5.75"/>
    <n v="7210.64"/>
    <n v="10010.326086956522"/>
    <n v="6.4027363049025468E-2"/>
    <n v="247820.4"/>
    <n v="240609.75999999998"/>
    <s v="OK"/>
    <x v="1"/>
    <x v="0"/>
  </r>
  <r>
    <s v="F0059"/>
    <d v="2025-09-19T00:00:00"/>
    <s v="D01"/>
    <s v="C02"/>
    <n v="3.7"/>
    <n v="9875.5"/>
    <n v="367.2"/>
    <n v="9508.2999999999993"/>
    <s v="Farm Gate"/>
    <n v="5.6"/>
    <n v="3459.79"/>
    <n v="2669.0540540540537"/>
    <n v="3.7182927446711561E-2"/>
    <n v="53246.479999999996"/>
    <n v="49786.689999999995"/>
    <s v="OK"/>
    <x v="2"/>
    <x v="3"/>
  </r>
  <r>
    <s v="F0141"/>
    <d v="2025-10-24T00:00:00"/>
    <s v="D04"/>
    <s v="C01"/>
    <n v="4.8"/>
    <n v="6809.6"/>
    <n v="468.6"/>
    <n v="6341"/>
    <s v="Wholesaler"/>
    <n v="3.3"/>
    <n v="8266.68"/>
    <n v="1418.6666666666667"/>
    <n v="6.881461466165413E-2"/>
    <n v="20925.3"/>
    <n v="12658.619999999999"/>
    <s v="OK"/>
    <x v="0"/>
    <x v="2"/>
  </r>
  <r>
    <s v="F0015"/>
    <d v="2025-11-20T00:00:00"/>
    <s v="D03"/>
    <s v="C05"/>
    <n v="14.8"/>
    <n v="14889.5"/>
    <n v="765.5"/>
    <n v="14124"/>
    <s v="Farm Gate"/>
    <n v="4.4000000000000004"/>
    <n v="14064.97"/>
    <n v="1006.0472972972973"/>
    <n v="5.1412068907619464E-2"/>
    <n v="62145.600000000006"/>
    <n v="48080.630000000005"/>
    <s v="OK"/>
    <x v="5"/>
    <x v="0"/>
  </r>
  <r>
    <s v="F0119"/>
    <d v="2026-05-09T00:00:00"/>
    <s v="D05"/>
    <s v="C04"/>
    <n v="12.4"/>
    <n v="77439.3"/>
    <n v="2708.3"/>
    <n v="74731"/>
    <s v="Local Market"/>
    <n v="8.1300000000000008"/>
    <n v="10711.17"/>
    <n v="6245.1048387096771"/>
    <n v="3.4973198363105036E-2"/>
    <n v="607563.03"/>
    <n v="596851.86"/>
    <s v="OK"/>
    <x v="3"/>
    <x v="1"/>
  </r>
  <r>
    <s v="F0128"/>
    <d v="2025-07-03T00:00:00"/>
    <s v="D03"/>
    <s v="C04"/>
    <n v="2.1"/>
    <n v="12707.7"/>
    <n v="1925"/>
    <n v="10782.7"/>
    <s v="Processor"/>
    <n v="9.6199999999999992"/>
    <n v="3316.44"/>
    <n v="6051.2857142857147"/>
    <n v="0.15148295915075111"/>
    <n v="103729.57399999999"/>
    <n v="100413.13399999999"/>
    <s v="OK"/>
    <x v="3"/>
    <x v="0"/>
  </r>
  <r>
    <s v="F0089"/>
    <d v="2026-04-09T00:00:00"/>
    <s v="D05"/>
    <s v="C01"/>
    <n v="4.4000000000000004"/>
    <n v="6918.9"/>
    <n v="758.5"/>
    <n v="6160.4"/>
    <s v="Processor"/>
    <n v="3.12"/>
    <n v="4798.46"/>
    <n v="1572.4772727272725"/>
    <n v="0.10962725288701962"/>
    <n v="19220.448"/>
    <n v="14421.988000000001"/>
    <s v="OK"/>
    <x v="0"/>
    <x v="1"/>
  </r>
  <r>
    <s v="F0208"/>
    <d v="2026-01-04T00:00:00"/>
    <s v="D01"/>
    <s v="C04"/>
    <n v="14.2"/>
    <n v="91846.399999999994"/>
    <n v="11703.8"/>
    <n v="80142.600000000006"/>
    <s v="Local Market"/>
    <n v="10.65"/>
    <n v="24540.959999999999"/>
    <n v="6468.0563380281692"/>
    <n v="0.12742796669221657"/>
    <n v="853518.69000000006"/>
    <n v="828977.7300000001"/>
    <s v="OK"/>
    <x v="3"/>
    <x v="3"/>
  </r>
  <r>
    <s v="F0067"/>
    <d v="2025-07-01T00:00:00"/>
    <s v="D01"/>
    <s v="C06"/>
    <n v="5.8"/>
    <n v="42463.5"/>
    <n v="1609.5"/>
    <n v="40854"/>
    <s v="Wholesaler"/>
    <n v="2.15"/>
    <n v="3938.92"/>
    <n v="7321.2931034482763"/>
    <n v="3.7903140344060192E-2"/>
    <n v="87836.099999999991"/>
    <n v="83897.18"/>
    <s v="OK"/>
    <x v="4"/>
    <x v="3"/>
  </r>
  <r>
    <s v="F0128"/>
    <d v="2026-01-16T00:00:00"/>
    <s v="D01"/>
    <s v="C02"/>
    <n v="3.9"/>
    <n v="7437"/>
    <n v="322.10000000000002"/>
    <n v="7114.9"/>
    <s v="Local Market"/>
    <n v="6.75"/>
    <n v="2752.79"/>
    <n v="1906.9230769230769"/>
    <n v="4.3310474653758237E-2"/>
    <n v="48025.574999999997"/>
    <n v="45272.784999999996"/>
    <s v="OK"/>
    <x v="2"/>
    <x v="3"/>
  </r>
  <r>
    <s v="F0009"/>
    <d v="2025-07-20T00:00:00"/>
    <s v="D03"/>
    <s v="C02"/>
    <n v="1.4"/>
    <n v="4031.7"/>
    <n v="552"/>
    <n v="3479.7"/>
    <s v="Local Market"/>
    <n v="6.71"/>
    <n v="1217.6199999999999"/>
    <n v="2879.7857142857142"/>
    <n v="0.1369149490289456"/>
    <n v="23348.787"/>
    <n v="22131.167000000001"/>
    <s v="OK"/>
    <x v="2"/>
    <x v="0"/>
  </r>
  <r>
    <s v="F0174"/>
    <d v="2026-01-21T00:00:00"/>
    <s v="D02"/>
    <s v="C06"/>
    <n v="14.1"/>
    <n v="68627.8"/>
    <n v="5308.6"/>
    <n v="63319.199999999997"/>
    <s v="Processor"/>
    <n v="2.0499999999999998"/>
    <n v="21697.17"/>
    <n v="4867.2198581560287"/>
    <n v="7.7353492316524788E-2"/>
    <n v="129804.35999999999"/>
    <n v="108107.18999999999"/>
    <s v="OK"/>
    <x v="4"/>
    <x v="4"/>
  </r>
  <r>
    <s v="F0109"/>
    <d v="2026-04-17T00:00:00"/>
    <s v="D01"/>
    <s v="C06"/>
    <n v="5.3"/>
    <n v="25983.200000000001"/>
    <n v="1908.2"/>
    <n v="24075"/>
    <s v="Wholesaler"/>
    <n v="2.33"/>
    <n v="9151.64"/>
    <n v="4902.4905660377362"/>
    <n v="7.3439761076387819E-2"/>
    <n v="56094.75"/>
    <n v="46943.11"/>
    <s v="OK"/>
    <x v="4"/>
    <x v="3"/>
  </r>
  <r>
    <s v="F0206"/>
    <d v="2025-07-25T00:00:00"/>
    <s v="D04"/>
    <s v="C05"/>
    <n v="12.4"/>
    <n v="17538.5"/>
    <n v="930.4"/>
    <n v="16608.099999999999"/>
    <s v="Wholesaler"/>
    <n v="4.1500000000000004"/>
    <n v="19686.36"/>
    <n v="1414.3951612903224"/>
    <n v="5.3049006471477034E-2"/>
    <n v="68923.615000000005"/>
    <n v="49237.255000000005"/>
    <s v="OK"/>
    <x v="5"/>
    <x v="2"/>
  </r>
  <r>
    <s v="F0063"/>
    <d v="2025-12-04T00:00:00"/>
    <s v="D03"/>
    <s v="C01"/>
    <n v="3"/>
    <n v="6363.2"/>
    <n v="184.7"/>
    <n v="6178.5"/>
    <s v="Farm Gate"/>
    <n v="3.79"/>
    <n v="3863.41"/>
    <n v="2121.0666666666666"/>
    <n v="2.9026276087503144E-2"/>
    <n v="23416.514999999999"/>
    <n v="19553.105"/>
    <s v="OK"/>
    <x v="0"/>
    <x v="0"/>
  </r>
  <r>
    <s v="F0218"/>
    <d v="2026-02-11T00:00:00"/>
    <s v="D02"/>
    <s v="C06"/>
    <n v="13.4"/>
    <n v="97385.5"/>
    <n v="14526.3"/>
    <n v="82859.199999999997"/>
    <s v="Processor"/>
    <n v="2.42"/>
    <n v="18981.580000000002"/>
    <n v="7267.5746268656712"/>
    <n v="0.1491628630545615"/>
    <n v="200519.264"/>
    <n v="181537.68400000001"/>
    <s v="OK"/>
    <x v="4"/>
    <x v="4"/>
  </r>
  <r>
    <s v="F0022"/>
    <d v="2026-03-14T00:00:00"/>
    <s v="D03"/>
    <s v="C05"/>
    <n v="3.9"/>
    <n v="6134.9"/>
    <n v="681.2"/>
    <n v="5453.7"/>
    <s v="Processor"/>
    <n v="4.99"/>
    <n v="6647.42"/>
    <n v="1573.051282051282"/>
    <n v="0.11103685471645831"/>
    <n v="27213.963"/>
    <n v="20566.542999999998"/>
    <s v="OK"/>
    <x v="5"/>
    <x v="0"/>
  </r>
  <r>
    <s v="F0045"/>
    <d v="2025-12-07T00:00:00"/>
    <s v="D01"/>
    <s v="C06"/>
    <n v="6.7"/>
    <n v="41975.199999999997"/>
    <n v="4558.1000000000004"/>
    <n v="37417.1"/>
    <s v="Local Market"/>
    <n v="2.25"/>
    <n v="4796.8500000000004"/>
    <n v="6264.9552238805963"/>
    <n v="0.10859031046903887"/>
    <n v="84188.474999999991"/>
    <n v="79391.624999999985"/>
    <s v="OK"/>
    <x v="4"/>
    <x v="3"/>
  </r>
  <r>
    <s v="F0050"/>
    <d v="2025-08-23T00:00:00"/>
    <s v="D01"/>
    <s v="C01"/>
    <n v="11.4"/>
    <n v="13756.2"/>
    <n v="1207.5999999999999"/>
    <n v="12548.6"/>
    <s v="Wholesaler"/>
    <n v="3.2"/>
    <n v="18516.900000000001"/>
    <n v="1206.6842105263158"/>
    <n v="8.7785871098123011E-2"/>
    <n v="40155.520000000004"/>
    <n v="21638.620000000003"/>
    <s v="OK"/>
    <x v="0"/>
    <x v="3"/>
  </r>
  <r>
    <s v="F0178"/>
    <d v="2025-09-16T00:00:00"/>
    <s v="D01"/>
    <s v="C02"/>
    <n v="5.2"/>
    <n v="12301.1"/>
    <n v="607.79999999999995"/>
    <n v="11693.3"/>
    <s v="Farm Gate"/>
    <n v="5.7"/>
    <n v="7817.51"/>
    <n v="2365.5961538461538"/>
    <n v="4.9410215346595017E-2"/>
    <n v="66651.81"/>
    <n v="58834.299999999996"/>
    <s v="OK"/>
    <x v="2"/>
    <x v="3"/>
  </r>
  <r>
    <s v="F0037"/>
    <d v="2026-05-07T00:00:00"/>
    <s v="D05"/>
    <s v="C05"/>
    <n v="13.9"/>
    <n v="14758.2"/>
    <n v="2200.4"/>
    <n v="12557.8"/>
    <s v="Wholesaler"/>
    <n v="4.5999999999999996"/>
    <n v="9283.68"/>
    <n v="1061.7410071942447"/>
    <n v="0.14909677331923948"/>
    <n v="57765.87999999999"/>
    <n v="48482.19999999999"/>
    <s v="OK"/>
    <x v="5"/>
    <x v="1"/>
  </r>
  <r>
    <s v="F0015"/>
    <d v="2026-03-10T00:00:00"/>
    <s v="D02"/>
    <s v="C02"/>
    <n v="6.4"/>
    <n v="16326.8"/>
    <n v="1014.3"/>
    <n v="15312.5"/>
    <s v="Wholesaler"/>
    <n v="5.12"/>
    <n v="5285.59"/>
    <n v="2551.0624999999995"/>
    <n v="6.2124849939975989E-2"/>
    <n v="78400"/>
    <n v="73114.41"/>
    <s v="OK"/>
    <x v="2"/>
    <x v="4"/>
  </r>
  <r>
    <s v="F0187"/>
    <d v="2025-11-25T00:00:00"/>
    <s v="D05"/>
    <s v="C02"/>
    <n v="10.8"/>
    <n v="31141.200000000001"/>
    <n v="3192.8"/>
    <n v="27948.400000000001"/>
    <s v="Local Market"/>
    <n v="6.85"/>
    <n v="8241.7900000000009"/>
    <n v="2883.4444444444443"/>
    <n v="0.10252655645896755"/>
    <n v="191446.54"/>
    <n v="183204.75"/>
    <s v="OK"/>
    <x v="2"/>
    <x v="1"/>
  </r>
  <r>
    <s v="F0147"/>
    <d v="2025-09-23T00:00:00"/>
    <s v="D03"/>
    <s v="C05"/>
    <n v="5.2"/>
    <n v="9882.5"/>
    <n v="1543.7"/>
    <n v="8338.7999999999993"/>
    <s v="Farm Gate"/>
    <n v="4.09"/>
    <n v="8210.2199999999993"/>
    <n v="1900.4807692307691"/>
    <n v="0.15620541360991652"/>
    <n v="34105.691999999995"/>
    <n v="25895.471999999994"/>
    <s v="OK"/>
    <x v="5"/>
    <x v="0"/>
  </r>
  <r>
    <s v="F0209"/>
    <d v="2025-07-04T00:00:00"/>
    <s v="D01"/>
    <s v="C02"/>
    <n v="9.6999999999999993"/>
    <n v="17620.599999999999"/>
    <n v="872.3"/>
    <n v="16748.3"/>
    <s v="Processor"/>
    <n v="4.9400000000000004"/>
    <n v="10026.44"/>
    <n v="1816.5567010309278"/>
    <n v="4.9504557166044294E-2"/>
    <n v="82736.601999999999"/>
    <n v="72710.161999999997"/>
    <s v="OK"/>
    <x v="2"/>
    <x v="3"/>
  </r>
  <r>
    <s v="F0178"/>
    <d v="2025-10-23T00:00:00"/>
    <s v="D01"/>
    <s v="C06"/>
    <n v="14"/>
    <n v="71262.899999999994"/>
    <n v="11224.2"/>
    <n v="60038.7"/>
    <s v="Wholesaler"/>
    <n v="2.0699999999999998"/>
    <n v="9252.9599999999991"/>
    <n v="5090.2071428571426"/>
    <n v="0.1575041150444341"/>
    <n v="124280.10899999998"/>
    <n v="115027.14899999998"/>
    <s v="OK"/>
    <x v="4"/>
    <x v="3"/>
  </r>
  <r>
    <s v="F0061"/>
    <d v="2026-01-18T00:00:00"/>
    <s v="D03"/>
    <s v="C02"/>
    <n v="12.6"/>
    <n v="35995.599999999999"/>
    <n v="4587.8"/>
    <n v="31407.8"/>
    <s v="Processor"/>
    <n v="6.68"/>
    <n v="10403.98"/>
    <n v="2856.7936507936506"/>
    <n v="0.12745446665703586"/>
    <n v="209804.10399999999"/>
    <n v="199400.12399999998"/>
    <s v="OK"/>
    <x v="2"/>
    <x v="0"/>
  </r>
  <r>
    <s v="F0074"/>
    <d v="2025-07-13T00:00:00"/>
    <s v="D04"/>
    <s v="C02"/>
    <n v="4.5999999999999996"/>
    <n v="7035.3"/>
    <n v="301.39999999999998"/>
    <n v="6733.9"/>
    <s v="Wholesaler"/>
    <n v="5.63"/>
    <n v="6113.12"/>
    <n v="1529.413043478261"/>
    <n v="4.2841101303426998E-2"/>
    <n v="37911.856999999996"/>
    <n v="31798.736999999997"/>
    <s v="OK"/>
    <x v="2"/>
    <x v="2"/>
  </r>
  <r>
    <s v="F0094"/>
    <d v="2026-01-17T00:00:00"/>
    <s v="D01"/>
    <s v="C03"/>
    <n v="13.3"/>
    <n v="77046.899999999994"/>
    <n v="8527"/>
    <n v="68519.899999999994"/>
    <s v="Local Market"/>
    <n v="6.79"/>
    <n v="21295.08"/>
    <n v="5792.9999999999991"/>
    <n v="0.11067284991349426"/>
    <n v="465250.12099999998"/>
    <n v="443955.04099999997"/>
    <s v="OK"/>
    <x v="1"/>
    <x v="3"/>
  </r>
  <r>
    <s v="F0220"/>
    <d v="2026-03-21T00:00:00"/>
    <s v="D04"/>
    <s v="C04"/>
    <n v="2.7"/>
    <n v="11797.8"/>
    <n v="634.5"/>
    <n v="11163.3"/>
    <s v="Local Market"/>
    <n v="9.2200000000000006"/>
    <n v="3674.38"/>
    <n v="4369.5555555555547"/>
    <n v="5.3781213446574785E-2"/>
    <n v="102925.626"/>
    <n v="99251.245999999999"/>
    <s v="OK"/>
    <x v="3"/>
    <x v="2"/>
  </r>
  <r>
    <s v="F0203"/>
    <d v="2026-01-07T00:00:00"/>
    <s v="D02"/>
    <s v="C06"/>
    <n v="1.2"/>
    <n v="8191.2"/>
    <n v="247.1"/>
    <n v="7944.1"/>
    <s v="Local Market"/>
    <n v="2.78"/>
    <n v="783.76"/>
    <n v="6826"/>
    <n v="3.0166520167985156E-2"/>
    <n v="22084.597999999998"/>
    <n v="21300.838"/>
    <s v="OK"/>
    <x v="4"/>
    <x v="4"/>
  </r>
  <r>
    <s v="F0026"/>
    <d v="2025-10-08T00:00:00"/>
    <s v="D02"/>
    <s v="C03"/>
    <n v="2.7"/>
    <n v="19793.3"/>
    <n v="2336"/>
    <n v="17457.3"/>
    <s v="Processor"/>
    <n v="5.93"/>
    <n v="3545.42"/>
    <n v="7330.8518518518513"/>
    <n v="0.11801973395037715"/>
    <n v="103521.78899999999"/>
    <n v="99976.368999999992"/>
    <s v="OK"/>
    <x v="1"/>
    <x v="4"/>
  </r>
  <r>
    <s v="F0196"/>
    <d v="2026-06-10T00:00:00"/>
    <s v="D01"/>
    <s v="C02"/>
    <n v="6.4"/>
    <n v="12884.4"/>
    <n v="1398.4"/>
    <n v="11486"/>
    <s v="Farm Gate"/>
    <n v="6.47"/>
    <n v="10052.33"/>
    <n v="2013.1874999999998"/>
    <n v="0.10853435161901215"/>
    <n v="74314.42"/>
    <n v="64262.09"/>
    <s v="OK"/>
    <x v="2"/>
    <x v="3"/>
  </r>
  <r>
    <s v="F0172"/>
    <d v="2026-01-14T00:00:00"/>
    <s v="D02"/>
    <s v="C06"/>
    <n v="1.8"/>
    <n v="11125.8"/>
    <n v="234"/>
    <n v="10891.8"/>
    <s v="Farm Gate"/>
    <n v="2.56"/>
    <n v="1599.19"/>
    <n v="6180.9999999999991"/>
    <n v="2.1032195437631452E-2"/>
    <n v="27883.007999999998"/>
    <n v="26283.817999999999"/>
    <s v="OK"/>
    <x v="4"/>
    <x v="4"/>
  </r>
  <r>
    <s v="F0145"/>
    <d v="2026-04-05T00:00:00"/>
    <s v="D02"/>
    <s v="C03"/>
    <n v="13.5"/>
    <n v="102939.9"/>
    <n v="8834.1"/>
    <n v="94105.8"/>
    <s v="Wholesaler"/>
    <n v="6.79"/>
    <n v="21610.59"/>
    <n v="7625.177777777777"/>
    <n v="8.5818035572212528E-2"/>
    <n v="638978.38199999998"/>
    <n v="617367.79200000002"/>
    <s v="OK"/>
    <x v="1"/>
    <x v="4"/>
  </r>
  <r>
    <s v="F0108"/>
    <d v="2026-01-07T00:00:00"/>
    <s v="D04"/>
    <s v="C02"/>
    <n v="9.8000000000000007"/>
    <n v="28970.7"/>
    <n v="2525.4"/>
    <n v="26445.3"/>
    <s v="Farm Gate"/>
    <n v="5.5"/>
    <n v="12132.66"/>
    <n v="2956.1938775510203"/>
    <n v="8.7170831219128289E-2"/>
    <n v="145449.15"/>
    <n v="133316.49"/>
    <s v="OK"/>
    <x v="2"/>
    <x v="2"/>
  </r>
  <r>
    <s v="F0101"/>
    <d v="2025-11-28T00:00:00"/>
    <s v="D01"/>
    <s v="C04"/>
    <n v="12.6"/>
    <n v="63440.4"/>
    <n v="6216.9"/>
    <n v="57223.5"/>
    <s v="Farm Gate"/>
    <n v="8.44"/>
    <n v="17211.47"/>
    <n v="5034.9523809523816"/>
    <n v="9.7995914275445919E-2"/>
    <n v="482966.33999999997"/>
    <n v="465754.87"/>
    <s v="OK"/>
    <x v="3"/>
    <x v="3"/>
  </r>
  <r>
    <s v="F0046"/>
    <d v="2026-06-11T00:00:00"/>
    <s v="D02"/>
    <s v="C06"/>
    <n v="1.5"/>
    <n v="7830.6"/>
    <n v="990.7"/>
    <n v="6839.9"/>
    <s v="Wholesaler"/>
    <n v="2.06"/>
    <n v="1859.24"/>
    <n v="5220.4000000000005"/>
    <n v="0.12651648660383624"/>
    <n v="14090.194"/>
    <n v="12230.954"/>
    <s v="OK"/>
    <x v="4"/>
    <x v="4"/>
  </r>
  <r>
    <s v="F0050"/>
    <d v="2026-06-27T00:00:00"/>
    <s v="D01"/>
    <s v="C06"/>
    <n v="7.8"/>
    <n v="55993.4"/>
    <n v="5829"/>
    <n v="50164.4"/>
    <s v="Local Market"/>
    <n v="2.74"/>
    <n v="10080.73"/>
    <n v="7178.6410256410263"/>
    <n v="0.1041015548261045"/>
    <n v="137450.45600000001"/>
    <n v="127369.72600000001"/>
    <s v="OK"/>
    <x v="4"/>
    <x v="3"/>
  </r>
  <r>
    <s v="F0162"/>
    <d v="2025-10-28T00:00:00"/>
    <s v="D04"/>
    <s v="C02"/>
    <n v="10.9"/>
    <n v="24882.5"/>
    <n v="886.8"/>
    <n v="23995.7"/>
    <s v="Processor"/>
    <n v="5.67"/>
    <n v="7964.89"/>
    <n v="2282.7981651376144"/>
    <n v="3.5639505676680394E-2"/>
    <n v="136055.61900000001"/>
    <n v="128090.72900000001"/>
    <s v="OK"/>
    <x v="2"/>
    <x v="2"/>
  </r>
  <r>
    <s v="F0001"/>
    <d v="2025-09-18T00:00:00"/>
    <s v="D04"/>
    <s v="C04"/>
    <n v="5"/>
    <n v="25935.9"/>
    <n v="2155.6999999999998"/>
    <n v="23780.2"/>
    <s v="Local Market"/>
    <n v="8.17"/>
    <n v="8884.24"/>
    <n v="5187.18"/>
    <n v="8.3116452484779779E-2"/>
    <n v="194284.234"/>
    <n v="185399.99400000001"/>
    <s v="OK"/>
    <x v="3"/>
    <x v="2"/>
  </r>
  <r>
    <s v="F0020"/>
    <d v="2026-06-18T00:00:00"/>
    <s v="D02"/>
    <s v="C03"/>
    <n v="9.4"/>
    <n v="66513.100000000006"/>
    <n v="7149"/>
    <n v="59364.1"/>
    <s v="Local Market"/>
    <n v="5.56"/>
    <n v="10488.06"/>
    <n v="7075.8617021276596"/>
    <n v="0.10748258613716695"/>
    <n v="330064.39599999995"/>
    <n v="319576.33599999995"/>
    <s v="OK"/>
    <x v="1"/>
    <x v="4"/>
  </r>
  <r>
    <s v="F0210"/>
    <d v="2025-10-28T00:00:00"/>
    <s v="D04"/>
    <s v="C06"/>
    <n v="2.8"/>
    <n v="20363.2"/>
    <n v="2676.1"/>
    <n v="17687.099999999999"/>
    <s v="Local Market"/>
    <n v="2.57"/>
    <n v="2244.67"/>
    <n v="7272.5714285714294"/>
    <n v="0.13141844110945233"/>
    <n v="45455.846999999994"/>
    <n v="43211.176999999996"/>
    <s v="OK"/>
    <x v="4"/>
    <x v="2"/>
  </r>
  <r>
    <s v="F0184"/>
    <d v="2025-12-08T00:00:00"/>
    <s v="D05"/>
    <s v="C03"/>
    <n v="3"/>
    <n v="19985.099999999999"/>
    <n v="1001.1"/>
    <n v="18984"/>
    <s v="Wholesaler"/>
    <n v="6.05"/>
    <n v="2620.13"/>
    <n v="6661.7"/>
    <n v="5.0092318777489236E-2"/>
    <n v="114853.2"/>
    <n v="112233.06999999999"/>
    <s v="OK"/>
    <x v="1"/>
    <x v="1"/>
  </r>
  <r>
    <s v="F0187"/>
    <d v="2025-12-07T00:00:00"/>
    <s v="D05"/>
    <s v="C02"/>
    <n v="12.3"/>
    <n v="24920.799999999999"/>
    <n v="1325"/>
    <n v="23595.8"/>
    <s v="Processor"/>
    <n v="5.79"/>
    <n v="19486.439999999999"/>
    <n v="2026.0813008130081"/>
    <n v="5.3168437610349589E-2"/>
    <n v="136619.682"/>
    <n v="117133.242"/>
    <s v="OK"/>
    <x v="2"/>
    <x v="1"/>
  </r>
  <r>
    <s v="F0045"/>
    <d v="2025-08-19T00:00:00"/>
    <s v="D04"/>
    <s v="C01"/>
    <n v="11.6"/>
    <n v="17844.3"/>
    <n v="918.2"/>
    <n v="16926.099999999999"/>
    <s v="Farm Gate"/>
    <n v="3.16"/>
    <n v="17245.96"/>
    <n v="1538.3017241379309"/>
    <n v="5.1456207304293254E-2"/>
    <n v="53486.475999999995"/>
    <n v="36240.515999999996"/>
    <s v="OK"/>
    <x v="0"/>
    <x v="2"/>
  </r>
  <r>
    <s v="F0111"/>
    <d v="2025-09-29T00:00:00"/>
    <s v="D05"/>
    <s v="C02"/>
    <n v="11.7"/>
    <n v="26211.200000000001"/>
    <n v="1751.4"/>
    <n v="24459.8"/>
    <s v="Local Market"/>
    <n v="6.89"/>
    <n v="16683.52"/>
    <n v="2240.2735042735044"/>
    <n v="6.6818764497619337E-2"/>
    <n v="168528.022"/>
    <n v="151844.50200000001"/>
    <s v="OK"/>
    <x v="2"/>
    <x v="1"/>
  </r>
  <r>
    <s v="F0178"/>
    <d v="2025-09-18T00:00:00"/>
    <s v="D03"/>
    <s v="C02"/>
    <n v="2.1"/>
    <n v="5259.6"/>
    <n v="649.79999999999995"/>
    <n v="4609.8"/>
    <s v="Local Market"/>
    <n v="5.87"/>
    <n v="3224.77"/>
    <n v="2504.5714285714284"/>
    <n v="0.12354551676933605"/>
    <n v="27059.526000000002"/>
    <n v="23834.756000000001"/>
    <s v="OK"/>
    <x v="2"/>
    <x v="0"/>
  </r>
  <r>
    <s v="F0161"/>
    <d v="2026-05-14T00:00:00"/>
    <s v="D05"/>
    <s v="C05"/>
    <n v="14.9"/>
    <n v="18025.5"/>
    <n v="1349"/>
    <n v="16676.5"/>
    <s v="Wholesaler"/>
    <n v="4.25"/>
    <n v="24411.69"/>
    <n v="1209.765100671141"/>
    <n v="7.4838423344706112E-2"/>
    <n v="70875.125"/>
    <n v="46463.434999999998"/>
    <s v="OK"/>
    <x v="5"/>
    <x v="1"/>
  </r>
  <r>
    <s v="F0181"/>
    <d v="2025-09-23T00:00:00"/>
    <s v="D01"/>
    <s v="C02"/>
    <n v="12.2"/>
    <n v="18530.3"/>
    <n v="2712.1"/>
    <n v="15818.2"/>
    <s v="Local Market"/>
    <n v="5.79"/>
    <n v="15070.96"/>
    <n v="1518.877049180328"/>
    <n v="0.14636028558630998"/>
    <n v="91587.378000000012"/>
    <n v="76516.418000000005"/>
    <s v="OK"/>
    <x v="2"/>
    <x v="3"/>
  </r>
  <r>
    <s v="F0051"/>
    <d v="2025-08-21T00:00:00"/>
    <s v="D01"/>
    <s v="C06"/>
    <n v="7.2"/>
    <n v="39470"/>
    <n v="3061.9"/>
    <n v="36408.1"/>
    <s v="Wholesaler"/>
    <n v="2.4900000000000002"/>
    <n v="9606.83"/>
    <n v="5481.9444444444443"/>
    <n v="7.7575373701545478E-2"/>
    <n v="90656.169000000009"/>
    <n v="81049.339000000007"/>
    <s v="OK"/>
    <x v="4"/>
    <x v="3"/>
  </r>
  <r>
    <s v="F0108"/>
    <d v="2026-06-13T00:00:00"/>
    <s v="D04"/>
    <s v="C05"/>
    <n v="14.7"/>
    <n v="19460.099999999999"/>
    <n v="2529.9"/>
    <n v="16930.2"/>
    <s v="Wholesaler"/>
    <n v="4.08"/>
    <n v="12811.28"/>
    <n v="1323.8163265306123"/>
    <n v="0.13000447068617327"/>
    <n v="69075.216"/>
    <n v="56263.936000000002"/>
    <s v="OK"/>
    <x v="5"/>
    <x v="2"/>
  </r>
  <r>
    <s v="F0172"/>
    <d v="2026-02-14T00:00:00"/>
    <s v="D03"/>
    <s v="C03"/>
    <n v="9.4"/>
    <n v="89969.600000000006"/>
    <n v="1858.4"/>
    <n v="88111.2"/>
    <s v="Local Market"/>
    <n v="7.61"/>
    <n v="14096.49"/>
    <n v="9571.2340425531911"/>
    <n v="2.065586598139816E-2"/>
    <n v="670526.23199999996"/>
    <n v="656429.74199999997"/>
    <s v="OK"/>
    <x v="1"/>
    <x v="0"/>
  </r>
  <r>
    <s v="F0073"/>
    <d v="2025-12-31T00:00:00"/>
    <s v="D05"/>
    <s v="C04"/>
    <n v="1.9"/>
    <n v="9411.2999999999993"/>
    <n v="979"/>
    <n v="8432.2999999999993"/>
    <s v="Local Market"/>
    <n v="9.02"/>
    <n v="2708.68"/>
    <n v="4953.3157894736842"/>
    <n v="0.10402388617938012"/>
    <n v="76059.34599999999"/>
    <n v="73350.665999999997"/>
    <s v="OK"/>
    <x v="3"/>
    <x v="1"/>
  </r>
  <r>
    <s v="F0012"/>
    <d v="2026-04-05T00:00:00"/>
    <s v="D05"/>
    <s v="C06"/>
    <n v="11.7"/>
    <n v="78360.600000000006"/>
    <n v="4858.5"/>
    <n v="73502.100000000006"/>
    <s v="Farm Gate"/>
    <n v="2.2400000000000002"/>
    <n v="12187.42"/>
    <n v="6697.4871794871806"/>
    <n v="6.2001822344392457E-2"/>
    <n v="164644.70400000003"/>
    <n v="152457.28400000001"/>
    <s v="OK"/>
    <x v="4"/>
    <x v="1"/>
  </r>
  <r>
    <s v="F0005"/>
    <d v="2025-12-21T00:00:00"/>
    <s v="D03"/>
    <s v="C06"/>
    <n v="6.5"/>
    <n v="43143.1"/>
    <n v="3225.2"/>
    <n v="39917.9"/>
    <s v="Local Market"/>
    <n v="2.87"/>
    <n v="4319.95"/>
    <n v="6637.4"/>
    <n v="7.4755870579536476E-2"/>
    <n v="114564.37300000001"/>
    <n v="110244.42300000001"/>
    <s v="OK"/>
    <x v="4"/>
    <x v="0"/>
  </r>
  <r>
    <s v="F0061"/>
    <d v="2026-04-19T00:00:00"/>
    <s v="D03"/>
    <s v="C05"/>
    <n v="10.8"/>
    <n v="20061.3"/>
    <n v="2025.8"/>
    <n v="18035.5"/>
    <s v="Farm Gate"/>
    <n v="4.92"/>
    <n v="18178.650000000001"/>
    <n v="1857.5277777777776"/>
    <n v="0.10098049478348861"/>
    <n v="88734.66"/>
    <n v="70556.010000000009"/>
    <s v="OK"/>
    <x v="5"/>
    <x v="0"/>
  </r>
  <r>
    <s v="F0170"/>
    <d v="2025-08-23T00:00:00"/>
    <s v="D04"/>
    <s v="C02"/>
    <n v="5.3"/>
    <n v="12616.6"/>
    <n v="282"/>
    <n v="12334.6"/>
    <s v="Farm Gate"/>
    <n v="5.16"/>
    <n v="7798.03"/>
    <n v="2380.4905660377358"/>
    <n v="2.2351505159868744E-2"/>
    <n v="63646.536"/>
    <n v="55848.506000000001"/>
    <s v="OK"/>
    <x v="2"/>
    <x v="2"/>
  </r>
  <r>
    <s v="F0092"/>
    <d v="2026-03-01T00:00:00"/>
    <s v="D05"/>
    <s v="C01"/>
    <n v="10.4"/>
    <n v="18689"/>
    <n v="2706.3"/>
    <n v="15982.7"/>
    <s v="Wholesaler"/>
    <n v="3.13"/>
    <n v="7863.65"/>
    <n v="1797.0192307692307"/>
    <n v="0.14480710578415112"/>
    <n v="50025.851000000002"/>
    <n v="42162.201000000001"/>
    <s v="OK"/>
    <x v="0"/>
    <x v="1"/>
  </r>
  <r>
    <s v="F0190"/>
    <d v="2025-11-08T00:00:00"/>
    <s v="D01"/>
    <s v="C01"/>
    <n v="8.8000000000000007"/>
    <n v="13590.8"/>
    <n v="665.5"/>
    <n v="12925.3"/>
    <s v="Processor"/>
    <n v="3.3"/>
    <n v="5881.56"/>
    <n v="1544.4090909090908"/>
    <n v="4.8966948229684788E-2"/>
    <n v="42653.49"/>
    <n v="36771.93"/>
    <s v="OK"/>
    <x v="0"/>
    <x v="3"/>
  </r>
  <r>
    <s v="F0087"/>
    <d v="2026-04-04T00:00:00"/>
    <s v="D04"/>
    <s v="C05"/>
    <n v="10.9"/>
    <n v="11691.2"/>
    <n v="566.5"/>
    <n v="11124.7"/>
    <s v="Farm Gate"/>
    <n v="4.01"/>
    <n v="11700.89"/>
    <n v="1072.5871559633028"/>
    <n v="4.8455248391952921E-2"/>
    <n v="44610.046999999999"/>
    <n v="32909.156999999999"/>
    <s v="OK"/>
    <x v="5"/>
    <x v="2"/>
  </r>
  <r>
    <s v="F0063"/>
    <d v="2025-10-16T00:00:00"/>
    <s v="D04"/>
    <s v="C02"/>
    <n v="10.5"/>
    <n v="28542.5"/>
    <n v="4327.7"/>
    <n v="24214.799999999999"/>
    <s v="Processor"/>
    <n v="5.71"/>
    <n v="10444.41"/>
    <n v="2718.3333333333335"/>
    <n v="0.15162301830603486"/>
    <n v="138266.508"/>
    <n v="127822.098"/>
    <s v="OK"/>
    <x v="2"/>
    <x v="2"/>
  </r>
  <r>
    <s v="F0157"/>
    <d v="2025-09-27T00:00:00"/>
    <s v="D02"/>
    <s v="C01"/>
    <n v="4.5999999999999996"/>
    <n v="6060.3"/>
    <n v="696.8"/>
    <n v="5363.5"/>
    <s v="Farm Gate"/>
    <n v="3.13"/>
    <n v="3561.71"/>
    <n v="1317.4565217391305"/>
    <n v="0.11497780637922214"/>
    <n v="16787.755000000001"/>
    <n v="13226.045000000002"/>
    <s v="OK"/>
    <x v="0"/>
    <x v="4"/>
  </r>
  <r>
    <s v="F0169"/>
    <d v="2026-02-07T00:00:00"/>
    <s v="D03"/>
    <s v="C05"/>
    <n v="14"/>
    <n v="16346.7"/>
    <n v="2583.1999999999998"/>
    <n v="13763.5"/>
    <s v="Wholesaler"/>
    <n v="4.2"/>
    <n v="21911.26"/>
    <n v="1167.6214285714286"/>
    <n v="0.1580257789033872"/>
    <n v="57806.700000000004"/>
    <n v="35895.440000000002"/>
    <s v="OK"/>
    <x v="5"/>
    <x v="0"/>
  </r>
  <r>
    <s v="F0165"/>
    <d v="2025-07-10T00:00:00"/>
    <s v="D03"/>
    <s v="C04"/>
    <n v="1.5"/>
    <n v="6788.4"/>
    <n v="939.3"/>
    <n v="5849.1"/>
    <s v="Wholesaler"/>
    <n v="10.3"/>
    <n v="1264.67"/>
    <n v="4525.5999999999995"/>
    <n v="0.13836839314124094"/>
    <n v="60245.73000000001"/>
    <n v="58981.060000000012"/>
    <s v="OK"/>
    <x v="3"/>
    <x v="0"/>
  </r>
  <r>
    <s v="F0147"/>
    <d v="2026-01-21T00:00:00"/>
    <s v="D05"/>
    <s v="C04"/>
    <n v="6.8"/>
    <n v="33157.800000000003"/>
    <n v="5086.5"/>
    <n v="28071.3"/>
    <s v="Processor"/>
    <n v="8"/>
    <n v="5944.43"/>
    <n v="4876.1470588235297"/>
    <n v="0.15340281924615021"/>
    <n v="224570.4"/>
    <n v="218625.97"/>
    <s v="OK"/>
    <x v="3"/>
    <x v="1"/>
  </r>
  <r>
    <s v="F0052"/>
    <d v="2025-11-25T00:00:00"/>
    <s v="D03"/>
    <s v="C01"/>
    <n v="9.1999999999999993"/>
    <n v="11549.1"/>
    <n v="1289.8"/>
    <n v="10259.299999999999"/>
    <s v="Local Market"/>
    <n v="3.6"/>
    <n v="6656.15"/>
    <n v="1255.3369565217392"/>
    <n v="0.11167969798512438"/>
    <n v="36933.479999999996"/>
    <n v="30277.329999999994"/>
    <s v="OK"/>
    <x v="0"/>
    <x v="0"/>
  </r>
  <r>
    <s v="F0193"/>
    <d v="2025-10-04T00:00:00"/>
    <s v="D05"/>
    <s v="C03"/>
    <n v="2.2999999999999998"/>
    <n v="17345.8"/>
    <n v="2523"/>
    <n v="14822.8"/>
    <s v="Processor"/>
    <n v="7.69"/>
    <n v="3671.48"/>
    <n v="7541.652173913044"/>
    <n v="0.14545307797853083"/>
    <n v="113987.33199999999"/>
    <n v="110315.852"/>
    <s v="OK"/>
    <x v="1"/>
    <x v="1"/>
  </r>
  <r>
    <s v="F0036"/>
    <d v="2025-08-01T00:00:00"/>
    <s v="D03"/>
    <s v="C01"/>
    <n v="2.6"/>
    <n v="3709.2"/>
    <n v="99.6"/>
    <n v="3609.6"/>
    <s v="Farm Gate"/>
    <n v="3.54"/>
    <n v="2197.7600000000002"/>
    <n v="1426.6153846153845"/>
    <n v="2.685215140731155E-2"/>
    <n v="12777.984"/>
    <n v="10580.224"/>
    <s v="OK"/>
    <x v="0"/>
    <x v="0"/>
  </r>
  <r>
    <s v="F0186"/>
    <d v="2025-09-27T00:00:00"/>
    <s v="D03"/>
    <s v="C01"/>
    <n v="2.2000000000000002"/>
    <n v="5240.3999999999996"/>
    <n v="782.4"/>
    <n v="4458"/>
    <s v="Processor"/>
    <n v="3.57"/>
    <n v="1939.34"/>
    <n v="2381.9999999999995"/>
    <n v="0.14930158003205862"/>
    <n v="15915.06"/>
    <n v="13975.72"/>
    <s v="OK"/>
    <x v="0"/>
    <x v="0"/>
  </r>
  <r>
    <s v="F0064"/>
    <d v="2025-08-03T00:00:00"/>
    <s v="D03"/>
    <s v="C06"/>
    <n v="13.9"/>
    <n v="60902.3"/>
    <n v="6634"/>
    <n v="54268.3"/>
    <s v="Processor"/>
    <n v="2.2599999999999998"/>
    <n v="9377.76"/>
    <n v="4381.4604316546765"/>
    <n v="0.10892856263228154"/>
    <n v="122646.35799999999"/>
    <n v="113268.598"/>
    <s v="OK"/>
    <x v="4"/>
    <x v="0"/>
  </r>
  <r>
    <s v="F0155"/>
    <d v="2026-04-06T00:00:00"/>
    <s v="D05"/>
    <s v="C06"/>
    <n v="4.5999999999999996"/>
    <n v="23169.599999999999"/>
    <n v="1960"/>
    <n v="21209.599999999999"/>
    <s v="Wholesaler"/>
    <n v="2.2999999999999998"/>
    <n v="3628.77"/>
    <n v="5036.869565217391"/>
    <n v="8.4593605413990747E-2"/>
    <n v="48782.079999999994"/>
    <n v="45153.31"/>
    <s v="OK"/>
    <x v="4"/>
    <x v="1"/>
  </r>
  <r>
    <s v="F0093"/>
    <d v="2026-04-18T00:00:00"/>
    <s v="D05"/>
    <s v="C03"/>
    <n v="14.8"/>
    <n v="139776.70000000001"/>
    <n v="7447.3"/>
    <n v="132329.4"/>
    <s v="Wholesaler"/>
    <n v="7.03"/>
    <n v="20801.72"/>
    <n v="9444.3716216216217"/>
    <n v="5.3279981570605109E-2"/>
    <n v="930275.68200000003"/>
    <n v="909473.96200000006"/>
    <s v="OK"/>
    <x v="1"/>
    <x v="1"/>
  </r>
  <r>
    <s v="F0093"/>
    <d v="2026-01-18T00:00:00"/>
    <s v="D04"/>
    <s v="C02"/>
    <n v="7.7"/>
    <n v="21879.599999999999"/>
    <n v="1850.5"/>
    <n v="20029.099999999999"/>
    <s v="Farm Gate"/>
    <n v="6.04"/>
    <n v="13027.43"/>
    <n v="2841.5064935064934"/>
    <n v="8.4576500484469561E-2"/>
    <n v="120975.764"/>
    <n v="107948.334"/>
    <s v="OK"/>
    <x v="2"/>
    <x v="2"/>
  </r>
  <r>
    <s v="F0200"/>
    <d v="2026-06-14T00:00:00"/>
    <s v="D01"/>
    <s v="C06"/>
    <n v="13.4"/>
    <n v="107241.2"/>
    <n v="6516.6"/>
    <n v="100724.6"/>
    <s v="Farm Gate"/>
    <n v="2.29"/>
    <n v="23779.759999999998"/>
    <n v="8003.0746268656712"/>
    <n v="6.076582507469145E-2"/>
    <n v="230659.334"/>
    <n v="206879.57399999999"/>
    <s v="OK"/>
    <x v="4"/>
    <x v="3"/>
  </r>
  <r>
    <s v="F0019"/>
    <d v="2025-07-18T00:00:00"/>
    <s v="D03"/>
    <s v="C03"/>
    <n v="11.5"/>
    <n v="85031.7"/>
    <n v="4214.2"/>
    <n v="80817.5"/>
    <s v="Farm Gate"/>
    <n v="5.73"/>
    <n v="16161.1"/>
    <n v="7394.0608695652172"/>
    <n v="4.9560340437742628E-2"/>
    <n v="463084.27500000002"/>
    <n v="446923.17500000005"/>
    <s v="OK"/>
    <x v="1"/>
    <x v="0"/>
  </r>
  <r>
    <s v="F0070"/>
    <d v="2026-03-22T00:00:00"/>
    <s v="D05"/>
    <s v="C03"/>
    <n v="3.9"/>
    <n v="37674.1"/>
    <n v="5118.8"/>
    <n v="32555.3"/>
    <s v="Local Market"/>
    <n v="7.77"/>
    <n v="5793.22"/>
    <n v="9660.0256410256407"/>
    <n v="0.13587053174462033"/>
    <n v="252954.68099999998"/>
    <n v="247161.46099999998"/>
    <s v="OK"/>
    <x v="1"/>
    <x v="1"/>
  </r>
  <r>
    <s v="F0200"/>
    <d v="2026-05-09T00:00:00"/>
    <s v="D01"/>
    <s v="C06"/>
    <n v="2.6"/>
    <n v="18200.400000000001"/>
    <n v="686.5"/>
    <n v="17513.900000000001"/>
    <s v="Wholesaler"/>
    <n v="2.31"/>
    <n v="4370.71"/>
    <n v="7000.1538461538466"/>
    <n v="3.7718951231841054E-2"/>
    <n v="40457.109000000004"/>
    <n v="36086.399000000005"/>
    <s v="OK"/>
    <x v="4"/>
    <x v="3"/>
  </r>
  <r>
    <s v="F0088"/>
    <d v="2026-05-12T00:00:00"/>
    <s v="D03"/>
    <s v="C04"/>
    <n v="1.8"/>
    <n v="9212.2000000000007"/>
    <n v="295.10000000000002"/>
    <n v="8917.1"/>
    <s v="Farm Gate"/>
    <n v="8.36"/>
    <n v="2707.91"/>
    <n v="5117.8888888888896"/>
    <n v="3.2033607607303359E-2"/>
    <n v="74546.955999999991"/>
    <n v="71839.045999999988"/>
    <s v="OK"/>
    <x v="3"/>
    <x v="0"/>
  </r>
  <r>
    <s v="F0142"/>
    <d v="2026-07-01T00:00:00"/>
    <s v="D03"/>
    <s v="C02"/>
    <n v="2.5"/>
    <n v="5470"/>
    <n v="551.6"/>
    <n v="4918.3999999999996"/>
    <s v="Processor"/>
    <n v="5.65"/>
    <n v="3434.21"/>
    <n v="2188"/>
    <n v="0.10084095063985375"/>
    <n v="27788.959999999999"/>
    <n v="24354.75"/>
    <s v="OK"/>
    <x v="2"/>
    <x v="0"/>
  </r>
  <r>
    <s v="F0219"/>
    <d v="2025-08-04T00:00:00"/>
    <s v="D04"/>
    <s v="C04"/>
    <n v="10.3"/>
    <n v="45761.8"/>
    <n v="5389.7"/>
    <n v="40372.1"/>
    <s v="Wholesaler"/>
    <n v="10.69"/>
    <n v="13176"/>
    <n v="4442.8932038834955"/>
    <n v="0.11777727274713844"/>
    <n v="431577.74899999995"/>
    <n v="418401.74899999995"/>
    <s v="OK"/>
    <x v="3"/>
    <x v="2"/>
  </r>
  <r>
    <s v="F0066"/>
    <d v="2026-03-27T00:00:00"/>
    <s v="D02"/>
    <s v="C03"/>
    <n v="9.6999999999999993"/>
    <n v="56178.400000000001"/>
    <n v="5574.2"/>
    <n v="50604.2"/>
    <s v="Processor"/>
    <n v="5.8"/>
    <n v="15095.59"/>
    <n v="5791.5876288659802"/>
    <n v="9.9223188983666319E-2"/>
    <n v="293504.36"/>
    <n v="278408.76999999996"/>
    <s v="OK"/>
    <x v="1"/>
    <x v="4"/>
  </r>
  <r>
    <s v="F0147"/>
    <d v="2025-12-22T00:00:00"/>
    <s v="D01"/>
    <s v="C03"/>
    <n v="14"/>
    <n v="84366"/>
    <n v="9444.2000000000007"/>
    <n v="74921.8"/>
    <s v="Processor"/>
    <n v="6.11"/>
    <n v="20342.13"/>
    <n v="6026.1428571428569"/>
    <n v="0.1119431998672451"/>
    <n v="457772.19800000003"/>
    <n v="437430.06800000003"/>
    <s v="OK"/>
    <x v="1"/>
    <x v="3"/>
  </r>
  <r>
    <s v="F0042"/>
    <d v="2025-10-18T00:00:00"/>
    <s v="D03"/>
    <s v="C02"/>
    <n v="14"/>
    <n v="39136.1"/>
    <n v="3149.9"/>
    <n v="35986.199999999997"/>
    <s v="Wholesaler"/>
    <n v="6.67"/>
    <n v="13969.14"/>
    <n v="2795.4357142857143"/>
    <n v="8.0485791890351877E-2"/>
    <n v="240027.95399999997"/>
    <n v="226058.81399999995"/>
    <s v="OK"/>
    <x v="2"/>
    <x v="0"/>
  </r>
  <r>
    <s v="F0215"/>
    <d v="2025-07-29T00:00:00"/>
    <s v="D05"/>
    <s v="C03"/>
    <n v="9.5"/>
    <n v="52020.2"/>
    <n v="3904.6"/>
    <n v="48115.6"/>
    <s v="Local Market"/>
    <n v="6.41"/>
    <n v="10286.07"/>
    <n v="5475.8105263157895"/>
    <n v="7.5059303885798206E-2"/>
    <n v="308420.99599999998"/>
    <n v="298134.92599999998"/>
    <s v="OK"/>
    <x v="1"/>
    <x v="1"/>
  </r>
  <r>
    <s v="F0078"/>
    <d v="2026-04-25T00:00:00"/>
    <s v="D05"/>
    <s v="C04"/>
    <n v="2.8"/>
    <n v="12294.5"/>
    <n v="1798.7"/>
    <n v="10495.8"/>
    <s v="Local Market"/>
    <n v="8.94"/>
    <n v="2861.38"/>
    <n v="4390.8928571428578"/>
    <n v="0.14630119158973526"/>
    <n v="93832.45199999999"/>
    <n v="90971.071999999986"/>
    <s v="OK"/>
    <x v="3"/>
    <x v="1"/>
  </r>
  <r>
    <s v="F0015"/>
    <d v="2026-03-13T00:00:00"/>
    <s v="D05"/>
    <s v="C02"/>
    <n v="5.3"/>
    <n v="12546.2"/>
    <n v="736.1"/>
    <n v="11810.1"/>
    <s v="Farm Gate"/>
    <n v="6.27"/>
    <n v="4841.7700000000004"/>
    <n v="2367.2075471698117"/>
    <n v="5.8671151424335655E-2"/>
    <n v="74049.32699999999"/>
    <n v="69207.556999999986"/>
    <s v="OK"/>
    <x v="2"/>
    <x v="1"/>
  </r>
  <r>
    <s v="F0106"/>
    <d v="2026-05-01T00:00:00"/>
    <s v="D03"/>
    <s v="C03"/>
    <n v="12.3"/>
    <n v="96242.9"/>
    <n v="11240"/>
    <n v="85002.9"/>
    <s v="Farm Gate"/>
    <n v="7.46"/>
    <n v="21472.43"/>
    <n v="7824.626016260162"/>
    <n v="0.11678783577801584"/>
    <n v="634121.63399999996"/>
    <n v="612649.20399999991"/>
    <s v="OK"/>
    <x v="1"/>
    <x v="0"/>
  </r>
  <r>
    <s v="F0095"/>
    <d v="2025-07-01T00:00:00"/>
    <s v="D04"/>
    <s v="C02"/>
    <n v="9.4"/>
    <n v="21185.9"/>
    <n v="849.7"/>
    <n v="20336.2"/>
    <s v="Farm Gate"/>
    <n v="6.83"/>
    <n v="12329.66"/>
    <n v="2253.8191489361702"/>
    <n v="4.0106863527157213E-2"/>
    <n v="138896.24600000001"/>
    <n v="126566.58600000001"/>
    <s v="OK"/>
    <x v="2"/>
    <x v="2"/>
  </r>
  <r>
    <s v="F0094"/>
    <d v="2026-03-08T00:00:00"/>
    <s v="D05"/>
    <s v="C04"/>
    <n v="7.5"/>
    <n v="46005"/>
    <n v="5564.4"/>
    <n v="40440.6"/>
    <s v="Wholesaler"/>
    <n v="9.27"/>
    <n v="13463.47"/>
    <n v="6134"/>
    <n v="0.12095207042712748"/>
    <n v="374884.36199999996"/>
    <n v="361420.89199999999"/>
    <s v="OK"/>
    <x v="3"/>
    <x v="1"/>
  </r>
  <r>
    <s v="F0089"/>
    <d v="2026-05-25T00:00:00"/>
    <s v="D02"/>
    <s v="C03"/>
    <n v="10.3"/>
    <n v="84021.9"/>
    <n v="3521.8"/>
    <n v="80500.100000000006"/>
    <s v="Processor"/>
    <n v="5.58"/>
    <n v="15870.77"/>
    <n v="8157.4660194174749"/>
    <n v="4.1915262568449421E-2"/>
    <n v="449190.55800000002"/>
    <n v="433319.788"/>
    <s v="OK"/>
    <x v="1"/>
    <x v="4"/>
  </r>
  <r>
    <s v="F0024"/>
    <d v="2026-06-11T00:00:00"/>
    <s v="D04"/>
    <s v="C03"/>
    <n v="8"/>
    <n v="69553.600000000006"/>
    <n v="2974.6"/>
    <n v="66579"/>
    <s v="Wholesaler"/>
    <n v="7.55"/>
    <n v="14106.04"/>
    <n v="8694.2000000000007"/>
    <n v="4.2767017091854334E-2"/>
    <n v="502671.45"/>
    <n v="488565.41000000003"/>
    <s v="OK"/>
    <x v="1"/>
    <x v="2"/>
  </r>
  <r>
    <s v="F0026"/>
    <d v="2025-10-19T00:00:00"/>
    <s v="D05"/>
    <s v="C01"/>
    <n v="1.8"/>
    <n v="3089.1"/>
    <n v="378.6"/>
    <n v="2710.5"/>
    <s v="Local Market"/>
    <n v="3.24"/>
    <n v="1527.31"/>
    <n v="1716.1666666666665"/>
    <n v="0.12255996892298729"/>
    <n v="8782.02"/>
    <n v="7254.7100000000009"/>
    <s v="OK"/>
    <x v="0"/>
    <x v="1"/>
  </r>
  <r>
    <s v="F0048"/>
    <d v="2025-10-16T00:00:00"/>
    <s v="D05"/>
    <s v="C01"/>
    <n v="3.5"/>
    <n v="5310.3"/>
    <n v="813.2"/>
    <n v="4497.1000000000004"/>
    <s v="Wholesaler"/>
    <n v="2.92"/>
    <n v="5904.06"/>
    <n v="1517.2285714285715"/>
    <n v="0.15313635764457753"/>
    <n v="13131.532000000001"/>
    <n v="7227.4720000000007"/>
    <s v="OK"/>
    <x v="0"/>
    <x v="1"/>
  </r>
  <r>
    <s v="F0071"/>
    <d v="2025-12-15T00:00:00"/>
    <s v="D02"/>
    <s v="C02"/>
    <n v="14.1"/>
    <n v="31234.400000000001"/>
    <n v="3098.3"/>
    <n v="28136.1"/>
    <s v="Processor"/>
    <n v="6.7"/>
    <n v="15391.94"/>
    <n v="2215.2056737588655"/>
    <n v="9.9195118203006943E-2"/>
    <n v="188511.87"/>
    <n v="173119.93"/>
    <s v="OK"/>
    <x v="2"/>
    <x v="4"/>
  </r>
  <r>
    <s v="F0028"/>
    <d v="2026-02-05T00:00:00"/>
    <s v="D03"/>
    <s v="C01"/>
    <n v="2.1"/>
    <n v="3030.5"/>
    <n v="126.6"/>
    <n v="2903.9"/>
    <s v="Local Market"/>
    <n v="3.06"/>
    <n v="1895.22"/>
    <n v="1443.0952380952381"/>
    <n v="4.1775284606500575E-2"/>
    <n v="8885.9340000000011"/>
    <n v="6990.7140000000009"/>
    <s v="OK"/>
    <x v="0"/>
    <x v="0"/>
  </r>
  <r>
    <s v="F0078"/>
    <d v="2025-11-27T00:00:00"/>
    <s v="D05"/>
    <s v="C02"/>
    <n v="1.1000000000000001"/>
    <n v="3084.2"/>
    <n v="327.7"/>
    <n v="2756.5"/>
    <s v="Farm Gate"/>
    <n v="5.26"/>
    <n v="1180.44"/>
    <n v="2803.8181818181815"/>
    <n v="0.10625121587445691"/>
    <n v="14499.189999999999"/>
    <n v="13318.749999999998"/>
    <s v="OK"/>
    <x v="2"/>
    <x v="1"/>
  </r>
  <r>
    <s v="F0025"/>
    <d v="2026-04-18T00:00:00"/>
    <s v="D05"/>
    <s v="C01"/>
    <n v="11.6"/>
    <n v="25344.9"/>
    <n v="3132.6"/>
    <n v="22212.3"/>
    <s v="Farm Gate"/>
    <n v="3.49"/>
    <n v="13989.22"/>
    <n v="2184.9051724137935"/>
    <n v="0.12359883053395357"/>
    <n v="77520.926999999996"/>
    <n v="63531.706999999995"/>
    <s v="OK"/>
    <x v="0"/>
    <x v="1"/>
  </r>
  <r>
    <s v="F0173"/>
    <d v="2026-02-05T00:00:00"/>
    <s v="D04"/>
    <s v="C02"/>
    <n v="9.3000000000000007"/>
    <n v="25891.7"/>
    <n v="1177.2"/>
    <n v="24714.5"/>
    <s v="Farm Gate"/>
    <n v="6.83"/>
    <n v="7426.56"/>
    <n v="2784.0537634408602"/>
    <n v="4.5466307735683636E-2"/>
    <n v="168800.035"/>
    <n v="161373.47500000001"/>
    <s v="OK"/>
    <x v="2"/>
    <x v="2"/>
  </r>
  <r>
    <s v="F0214"/>
    <d v="2026-03-11T00:00:00"/>
    <s v="D03"/>
    <s v="C02"/>
    <n v="4.9000000000000004"/>
    <n v="7898.6"/>
    <n v="516.20000000000005"/>
    <n v="7382.4"/>
    <s v="Processor"/>
    <n v="6.04"/>
    <n v="8572.0499999999993"/>
    <n v="1611.9591836734694"/>
    <n v="6.5353353758893978E-2"/>
    <n v="44589.695999999996"/>
    <n v="36017.645999999993"/>
    <s v="OK"/>
    <x v="2"/>
    <x v="0"/>
  </r>
  <r>
    <s v="F0200"/>
    <d v="2026-04-08T00:00:00"/>
    <s v="D03"/>
    <s v="C05"/>
    <n v="5.7"/>
    <n v="10477.4"/>
    <n v="567.9"/>
    <n v="9909.5"/>
    <s v="Local Market"/>
    <n v="4.45"/>
    <n v="8030.66"/>
    <n v="1838.1403508771928"/>
    <n v="5.4202378452669557E-2"/>
    <n v="44097.275000000001"/>
    <n v="36066.615000000005"/>
    <s v="OK"/>
    <x v="5"/>
    <x v="0"/>
  </r>
  <r>
    <s v="F0088"/>
    <d v="2026-04-16T00:00:00"/>
    <s v="D04"/>
    <s v="C04"/>
    <n v="7.4"/>
    <n v="27282.5"/>
    <n v="3348.9"/>
    <n v="23933.599999999999"/>
    <s v="Wholesaler"/>
    <n v="8.5299999999999994"/>
    <n v="12478.36"/>
    <n v="3686.8243243243242"/>
    <n v="0.12274901493631449"/>
    <n v="204153.60799999998"/>
    <n v="191675.24799999996"/>
    <s v="OK"/>
    <x v="3"/>
    <x v="2"/>
  </r>
  <r>
    <s v="F0201"/>
    <d v="2025-10-07T00:00:00"/>
    <s v="D03"/>
    <s v="C01"/>
    <n v="14.3"/>
    <n v="19558"/>
    <n v="1610"/>
    <n v="17948"/>
    <s v="Farm Gate"/>
    <n v="3.03"/>
    <n v="13126.97"/>
    <n v="1367.6923076923076"/>
    <n v="8.2319255547601999E-2"/>
    <n v="54382.439999999995"/>
    <n v="41255.469999999994"/>
    <s v="OK"/>
    <x v="0"/>
    <x v="0"/>
  </r>
  <r>
    <s v="F0126"/>
    <d v="2025-12-23T00:00:00"/>
    <s v="D05"/>
    <s v="C06"/>
    <n v="10.4"/>
    <n v="41023.199999999997"/>
    <n v="1175"/>
    <n v="39848.199999999997"/>
    <s v="Wholesaler"/>
    <n v="2.4"/>
    <n v="15083.17"/>
    <n v="3944.538461538461"/>
    <n v="2.8642329218588509E-2"/>
    <n v="95635.68"/>
    <n v="80552.509999999995"/>
    <s v="OK"/>
    <x v="4"/>
    <x v="1"/>
  </r>
  <r>
    <s v="F0062"/>
    <d v="2025-11-23T00:00:00"/>
    <s v="D04"/>
    <s v="C01"/>
    <n v="2.1"/>
    <n v="3255"/>
    <n v="188.8"/>
    <n v="3066.2"/>
    <s v="Local Market"/>
    <n v="3.35"/>
    <n v="1871.14"/>
    <n v="1550"/>
    <n v="5.8003072196620591E-2"/>
    <n v="10271.77"/>
    <n v="8400.630000000001"/>
    <s v="OK"/>
    <x v="0"/>
    <x v="2"/>
  </r>
  <r>
    <s v="F0193"/>
    <d v="2025-08-05T00:00:00"/>
    <s v="D01"/>
    <s v="C04"/>
    <n v="4.9000000000000004"/>
    <n v="18116.900000000001"/>
    <n v="1946.5"/>
    <n v="16170.4"/>
    <s v="Farm Gate"/>
    <n v="7.79"/>
    <n v="5316.06"/>
    <n v="3697.3265306122448"/>
    <n v="0.10744111851365298"/>
    <n v="125967.416"/>
    <n v="120651.356"/>
    <s v="OK"/>
    <x v="3"/>
    <x v="3"/>
  </r>
  <r>
    <s v="F0195"/>
    <d v="2026-06-11T00:00:00"/>
    <s v="D04"/>
    <s v="C04"/>
    <n v="7.7"/>
    <n v="48419.9"/>
    <n v="3217.3"/>
    <n v="45202.6"/>
    <s v="Local Market"/>
    <n v="10.039999999999999"/>
    <n v="10588.52"/>
    <n v="6288.2987012987014"/>
    <n v="6.6445820829865415E-2"/>
    <n v="453834.10399999993"/>
    <n v="443245.58399999992"/>
    <s v="OK"/>
    <x v="3"/>
    <x v="2"/>
  </r>
  <r>
    <s v="F0141"/>
    <d v="2026-03-22T00:00:00"/>
    <s v="D02"/>
    <s v="C04"/>
    <n v="1.7"/>
    <n v="8527.7999999999993"/>
    <n v="179.8"/>
    <n v="8348"/>
    <s v="Wholesaler"/>
    <n v="9.31"/>
    <n v="2684.47"/>
    <n v="5016.3529411764703"/>
    <n v="2.1083984145969657E-2"/>
    <n v="77719.88"/>
    <n v="75035.41"/>
    <s v="OK"/>
    <x v="3"/>
    <x v="4"/>
  </r>
  <r>
    <s v="F0113"/>
    <d v="2025-10-16T00:00:00"/>
    <s v="D01"/>
    <s v="C05"/>
    <n v="3.1"/>
    <n v="4736.2"/>
    <n v="342.1"/>
    <n v="4394.1000000000004"/>
    <s v="Wholesaler"/>
    <n v="3.95"/>
    <n v="5326.2"/>
    <n v="1527.8064516129032"/>
    <n v="7.2230902411215755E-2"/>
    <n v="17356.695000000003"/>
    <n v="12030.495000000003"/>
    <s v="OK"/>
    <x v="5"/>
    <x v="3"/>
  </r>
  <r>
    <s v="F0113"/>
    <d v="2025-11-21T00:00:00"/>
    <s v="D03"/>
    <s v="C06"/>
    <n v="2.9"/>
    <n v="21033.599999999999"/>
    <n v="2745.1"/>
    <n v="18288.5"/>
    <s v="Local Market"/>
    <n v="2.13"/>
    <n v="2265.12"/>
    <n v="7252.9655172413786"/>
    <n v="0.13051023124904915"/>
    <n v="38954.504999999997"/>
    <n v="36689.384999999995"/>
    <s v="OK"/>
    <x v="4"/>
    <x v="0"/>
  </r>
  <r>
    <s v="F0118"/>
    <d v="2026-03-11T00:00:00"/>
    <s v="D02"/>
    <s v="C03"/>
    <n v="8.6"/>
    <n v="69963.7"/>
    <n v="7839.1"/>
    <n v="62124.6"/>
    <s v="Wholesaler"/>
    <n v="7.19"/>
    <n v="7446.51"/>
    <n v="8135.3139534883721"/>
    <n v="0.11204524632059197"/>
    <n v="446675.87400000001"/>
    <n v="439229.364"/>
    <s v="OK"/>
    <x v="1"/>
    <x v="4"/>
  </r>
  <r>
    <s v="F0193"/>
    <d v="2026-05-15T00:00:00"/>
    <s v="D02"/>
    <s v="C05"/>
    <n v="5.7"/>
    <n v="7673.8"/>
    <n v="975.6"/>
    <n v="6698.2"/>
    <s v="Local Market"/>
    <n v="5.35"/>
    <n v="9662.99"/>
    <n v="1346.280701754386"/>
    <n v="0.12713388412520524"/>
    <n v="35835.369999999995"/>
    <n v="26172.379999999997"/>
    <s v="OK"/>
    <x v="5"/>
    <x v="4"/>
  </r>
  <r>
    <s v="F0105"/>
    <d v="2025-11-02T00:00:00"/>
    <s v="D02"/>
    <s v="C05"/>
    <n v="2.9"/>
    <n v="3268.7"/>
    <n v="228"/>
    <n v="3040.7"/>
    <s v="Farm Gate"/>
    <n v="5.08"/>
    <n v="2809.01"/>
    <n v="1127.1379310344828"/>
    <n v="6.9752500994279071E-2"/>
    <n v="15446.755999999999"/>
    <n v="12637.745999999999"/>
    <s v="OK"/>
    <x v="5"/>
    <x v="4"/>
  </r>
  <r>
    <s v="F0110"/>
    <d v="2025-07-10T00:00:00"/>
    <s v="D02"/>
    <s v="C01"/>
    <n v="3.4"/>
    <n v="7143.5"/>
    <n v="573.6"/>
    <n v="6569.9"/>
    <s v="Farm Gate"/>
    <n v="2.88"/>
    <n v="3118.84"/>
    <n v="2101.0294117647059"/>
    <n v="8.0296773290403869E-2"/>
    <n v="18921.311999999998"/>
    <n v="15802.471999999998"/>
    <s v="OK"/>
    <x v="0"/>
    <x v="4"/>
  </r>
  <r>
    <s v="F0137"/>
    <d v="2025-12-20T00:00:00"/>
    <s v="D05"/>
    <s v="C06"/>
    <n v="5"/>
    <n v="31703"/>
    <n v="2736"/>
    <n v="28967"/>
    <s v="Local Market"/>
    <n v="2.1"/>
    <n v="5359.51"/>
    <n v="6340.6"/>
    <n v="8.6300980979718014E-2"/>
    <n v="60830.700000000004"/>
    <n v="55471.19"/>
    <s v="OK"/>
    <x v="4"/>
    <x v="1"/>
  </r>
  <r>
    <s v="F0057"/>
    <d v="2026-03-01T00:00:00"/>
    <s v="D05"/>
    <s v="C06"/>
    <n v="11.1"/>
    <n v="84016"/>
    <n v="2747.9"/>
    <n v="81268.100000000006"/>
    <s v="Farm Gate"/>
    <n v="2.2599999999999998"/>
    <n v="10600.16"/>
    <n v="7569.0090090090089"/>
    <n v="3.2706865358979244E-2"/>
    <n v="183665.90599999999"/>
    <n v="173065.74599999998"/>
    <s v="OK"/>
    <x v="4"/>
    <x v="1"/>
  </r>
  <r>
    <s v="F0121"/>
    <d v="2025-10-09T00:00:00"/>
    <s v="D03"/>
    <s v="C04"/>
    <n v="11.6"/>
    <n v="53243.7"/>
    <n v="4997.2"/>
    <n v="48246.5"/>
    <s v="Farm Gate"/>
    <n v="9.01"/>
    <n v="14410.08"/>
    <n v="4589.9741379310344"/>
    <n v="9.3855235455086714E-2"/>
    <n v="434700.96499999997"/>
    <n v="420290.88499999995"/>
    <s v="OK"/>
    <x v="3"/>
    <x v="0"/>
  </r>
  <r>
    <s v="F0006"/>
    <d v="2025-07-03T00:00:00"/>
    <s v="D03"/>
    <s v="C03"/>
    <n v="14.4"/>
    <n v="141664.70000000001"/>
    <n v="4297.8999999999996"/>
    <n v="137366.79999999999"/>
    <s v="Local Market"/>
    <n v="7.5"/>
    <n v="20636.509999999998"/>
    <n v="9837.8263888888887"/>
    <n v="3.0338538817362402E-2"/>
    <n v="1030250.9999999999"/>
    <n v="1009614.4899999999"/>
    <s v="OK"/>
    <x v="1"/>
    <x v="0"/>
  </r>
  <r>
    <s v="F0036"/>
    <d v="2026-04-18T00:00:00"/>
    <s v="D03"/>
    <s v="C05"/>
    <n v="12.5"/>
    <n v="19498.099999999999"/>
    <n v="2533.3000000000002"/>
    <n v="16964.8"/>
    <s v="Wholesaler"/>
    <n v="4.9800000000000004"/>
    <n v="20278.990000000002"/>
    <n v="1559.848"/>
    <n v="0.12992547991855619"/>
    <n v="84484.703999999998"/>
    <n v="64205.713999999993"/>
    <s v="OK"/>
    <x v="5"/>
    <x v="0"/>
  </r>
  <r>
    <s v="F0180"/>
    <d v="2026-05-09T00:00:00"/>
    <s v="D04"/>
    <s v="C02"/>
    <n v="13.1"/>
    <n v="27137.9"/>
    <n v="1949.7"/>
    <n v="25188.2"/>
    <s v="Local Market"/>
    <n v="6.86"/>
    <n v="16478.04"/>
    <n v="2071.5954198473282"/>
    <n v="7.1844173646450168E-2"/>
    <n v="172791.05200000003"/>
    <n v="156313.01200000002"/>
    <s v="OK"/>
    <x v="2"/>
    <x v="2"/>
  </r>
  <r>
    <s v="F0028"/>
    <d v="2025-11-24T00:00:00"/>
    <s v="D04"/>
    <s v="C01"/>
    <n v="11.3"/>
    <n v="14597"/>
    <n v="1553.1"/>
    <n v="13043.9"/>
    <s v="Processor"/>
    <n v="3.77"/>
    <n v="10638.08"/>
    <n v="1291.7699115044247"/>
    <n v="0.10639857504966774"/>
    <n v="49175.502999999997"/>
    <n v="38537.422999999995"/>
    <s v="OK"/>
    <x v="0"/>
    <x v="2"/>
  </r>
  <r>
    <s v="F0194"/>
    <d v="2025-08-23T00:00:00"/>
    <s v="D03"/>
    <s v="C06"/>
    <n v="3.3"/>
    <n v="24843.1"/>
    <n v="2814.1"/>
    <n v="22029"/>
    <s v="Processor"/>
    <n v="2.63"/>
    <n v="2677.4"/>
    <n v="7528.212121212121"/>
    <n v="0.11327491335622367"/>
    <n v="57936.27"/>
    <n v="55258.869999999995"/>
    <s v="OK"/>
    <x v="4"/>
    <x v="0"/>
  </r>
  <r>
    <s v="F0125"/>
    <d v="2025-08-14T00:00:00"/>
    <s v="D04"/>
    <s v="C01"/>
    <n v="3"/>
    <n v="3766.1"/>
    <n v="501.8"/>
    <n v="3264.3"/>
    <s v="Wholesaler"/>
    <n v="3.02"/>
    <n v="4443.17"/>
    <n v="1255.3666666666666"/>
    <n v="0.13324128408698654"/>
    <n v="9858.1860000000015"/>
    <n v="5415.0160000000014"/>
    <s v="OK"/>
    <x v="0"/>
    <x v="2"/>
  </r>
  <r>
    <s v="F0168"/>
    <d v="2025-12-08T00:00:00"/>
    <s v="D05"/>
    <s v="C01"/>
    <n v="5.9"/>
    <n v="8602.5"/>
    <n v="1149.7"/>
    <n v="7452.8"/>
    <s v="Wholesaler"/>
    <n v="2.94"/>
    <n v="3856.24"/>
    <n v="1458.050847457627"/>
    <n v="0.13364719558267946"/>
    <n v="21911.232"/>
    <n v="18054.991999999998"/>
    <s v="OK"/>
    <x v="0"/>
    <x v="1"/>
  </r>
  <r>
    <s v="F0095"/>
    <d v="2026-07-01T00:00:00"/>
    <s v="D01"/>
    <s v="C01"/>
    <n v="11.7"/>
    <n v="28264.7"/>
    <n v="4129.8999999999996"/>
    <n v="24134.799999999999"/>
    <s v="Farm Gate"/>
    <n v="3.11"/>
    <n v="17623.099999999999"/>
    <n v="2415.7863247863252"/>
    <n v="0.14611511885850548"/>
    <n v="75059.227999999988"/>
    <n v="57436.12799999999"/>
    <s v="OK"/>
    <x v="0"/>
    <x v="3"/>
  </r>
  <r>
    <s v="F0040"/>
    <d v="2025-08-06T00:00:00"/>
    <s v="D04"/>
    <s v="C06"/>
    <n v="9.1999999999999993"/>
    <n v="57925.7"/>
    <n v="6019.4"/>
    <n v="51906.3"/>
    <s v="Processor"/>
    <n v="2.4"/>
    <n v="15429.71"/>
    <n v="6296.271739130435"/>
    <n v="0.10391587844428293"/>
    <n v="124575.12"/>
    <n v="109145.41"/>
    <s v="OK"/>
    <x v="4"/>
    <x v="2"/>
  </r>
  <r>
    <s v="F0074"/>
    <d v="2026-05-25T00:00:00"/>
    <s v="D01"/>
    <s v="C03"/>
    <n v="6.8"/>
    <n v="49604"/>
    <n v="2007"/>
    <n v="47597"/>
    <s v="Processor"/>
    <n v="5.91"/>
    <n v="10251"/>
    <n v="7294.7058823529414"/>
    <n v="4.0460446738166275E-2"/>
    <n v="281298.27"/>
    <n v="271047.27"/>
    <s v="OK"/>
    <x v="1"/>
    <x v="3"/>
  </r>
  <r>
    <s v="F0136"/>
    <d v="2026-02-05T00:00:00"/>
    <s v="D03"/>
    <s v="C02"/>
    <n v="5.0999999999999996"/>
    <n v="10377.799999999999"/>
    <n v="1202"/>
    <n v="9175.7999999999993"/>
    <s v="Processor"/>
    <n v="5.84"/>
    <n v="8872.64"/>
    <n v="2034.8627450980391"/>
    <n v="0.11582416311742375"/>
    <n v="53586.671999999991"/>
    <n v="44714.031999999992"/>
    <s v="OK"/>
    <x v="2"/>
    <x v="0"/>
  </r>
  <r>
    <s v="F0216"/>
    <d v="2025-09-29T00:00:00"/>
    <s v="D02"/>
    <s v="C02"/>
    <n v="3.8"/>
    <n v="7654.6"/>
    <n v="424.3"/>
    <n v="7230.3"/>
    <s v="Local Market"/>
    <n v="5.56"/>
    <n v="3627.66"/>
    <n v="2014.3684210526317"/>
    <n v="5.5430721396284584E-2"/>
    <n v="40200.468000000001"/>
    <n v="36572.808000000005"/>
    <s v="OK"/>
    <x v="2"/>
    <x v="4"/>
  </r>
  <r>
    <s v="F0108"/>
    <d v="2025-10-30T00:00:00"/>
    <s v="D03"/>
    <s v="C05"/>
    <n v="14.1"/>
    <n v="14444"/>
    <n v="1982.1"/>
    <n v="12461.9"/>
    <s v="Wholesaler"/>
    <n v="4.55"/>
    <n v="21000.14"/>
    <n v="1024.3971631205675"/>
    <n v="0.13722653004707835"/>
    <n v="56701.644999999997"/>
    <n v="35701.504999999997"/>
    <s v="OK"/>
    <x v="5"/>
    <x v="0"/>
  </r>
  <r>
    <s v="F0071"/>
    <d v="2026-01-31T00:00:00"/>
    <s v="D02"/>
    <s v="C05"/>
    <n v="9.3000000000000007"/>
    <n v="13290.7"/>
    <n v="283.60000000000002"/>
    <n v="13007.1"/>
    <s v="Wholesaler"/>
    <n v="4.7699999999999996"/>
    <n v="12425.81"/>
    <n v="1429.1075268817203"/>
    <n v="2.1338228987186531E-2"/>
    <n v="62043.866999999998"/>
    <n v="49618.057000000001"/>
    <s v="OK"/>
    <x v="5"/>
    <x v="4"/>
  </r>
  <r>
    <s v="F0181"/>
    <d v="2026-04-07T00:00:00"/>
    <s v="D05"/>
    <s v="C03"/>
    <n v="12.5"/>
    <n v="114594.1"/>
    <n v="6416.7"/>
    <n v="108177.4"/>
    <s v="Local Market"/>
    <n v="7.71"/>
    <n v="14445.52"/>
    <n v="9167.5280000000002"/>
    <n v="5.5995029412509015E-2"/>
    <n v="834047.75399999996"/>
    <n v="819602.23399999994"/>
    <s v="OK"/>
    <x v="1"/>
    <x v="1"/>
  </r>
  <r>
    <s v="F0169"/>
    <d v="2025-09-17T00:00:00"/>
    <s v="D04"/>
    <s v="C02"/>
    <n v="3"/>
    <n v="6948.1"/>
    <n v="676.8"/>
    <n v="6271.3"/>
    <s v="Farm Gate"/>
    <n v="6.4"/>
    <n v="5128.32"/>
    <n v="2316.0333333333333"/>
    <n v="9.740792446855974E-2"/>
    <n v="40136.320000000007"/>
    <n v="35008.000000000007"/>
    <s v="OK"/>
    <x v="2"/>
    <x v="2"/>
  </r>
  <r>
    <s v="F0172"/>
    <d v="2026-01-11T00:00:00"/>
    <s v="D05"/>
    <s v="C01"/>
    <n v="5"/>
    <n v="6698.6"/>
    <n v="767.3"/>
    <n v="5931.3"/>
    <s v="Processor"/>
    <n v="2.87"/>
    <n v="3513.07"/>
    <n v="1339.72"/>
    <n v="0.11454632311229211"/>
    <n v="17022.831000000002"/>
    <n v="13509.761000000002"/>
    <s v="OK"/>
    <x v="0"/>
    <x v="1"/>
  </r>
  <r>
    <s v="F0155"/>
    <d v="2026-06-29T00:00:00"/>
    <s v="D02"/>
    <s v="C06"/>
    <n v="14.5"/>
    <n v="117206.7"/>
    <n v="2823.2"/>
    <n v="114383.5"/>
    <s v="Processor"/>
    <n v="2.66"/>
    <n v="20163.32"/>
    <n v="8083.2206896551725"/>
    <n v="2.4087360193572552E-2"/>
    <n v="304260.11000000004"/>
    <n v="284096.79000000004"/>
    <s v="OK"/>
    <x v="4"/>
    <x v="4"/>
  </r>
  <r>
    <s v="F0040"/>
    <d v="2026-06-20T00:00:00"/>
    <s v="D04"/>
    <s v="C04"/>
    <n v="13.2"/>
    <n v="74738.899999999994"/>
    <n v="4793.3"/>
    <n v="69945.600000000006"/>
    <s v="Local Market"/>
    <n v="9.1300000000000008"/>
    <n v="22487.21"/>
    <n v="5662.037878787879"/>
    <n v="6.4133938283812059E-2"/>
    <n v="638603.3280000001"/>
    <n v="616116.11800000013"/>
    <s v="OK"/>
    <x v="3"/>
    <x v="2"/>
  </r>
  <r>
    <s v="F0058"/>
    <d v="2025-07-18T00:00:00"/>
    <s v="D05"/>
    <s v="C01"/>
    <n v="4.3"/>
    <n v="8898.7999999999993"/>
    <n v="912.2"/>
    <n v="7986.6"/>
    <s v="Wholesaler"/>
    <n v="3.23"/>
    <n v="4226.59"/>
    <n v="2069.4883720930234"/>
    <n v="0.10250820335326112"/>
    <n v="25796.718000000001"/>
    <n v="21570.128000000001"/>
    <s v="OK"/>
    <x v="0"/>
    <x v="1"/>
  </r>
  <r>
    <s v="F0098"/>
    <d v="2026-02-07T00:00:00"/>
    <s v="D03"/>
    <s v="C04"/>
    <n v="12.5"/>
    <n v="64237.7"/>
    <n v="9842.4"/>
    <n v="54395.3"/>
    <s v="Processor"/>
    <n v="10.39"/>
    <n v="18657.919999999998"/>
    <n v="5139.0159999999996"/>
    <n v="0.15321843714827896"/>
    <n v="565167.16700000002"/>
    <n v="546509.24699999997"/>
    <s v="OK"/>
    <x v="3"/>
    <x v="0"/>
  </r>
  <r>
    <s v="F0141"/>
    <d v="2026-01-04T00:00:00"/>
    <s v="D02"/>
    <s v="C06"/>
    <n v="6.5"/>
    <n v="52256.1"/>
    <n v="6554.9"/>
    <n v="45701.2"/>
    <s v="Processor"/>
    <n v="2.0699999999999998"/>
    <n v="8923.6"/>
    <n v="8039.4"/>
    <n v="0.12543798714408461"/>
    <n v="94601.483999999982"/>
    <n v="85677.883999999976"/>
    <s v="OK"/>
    <x v="4"/>
    <x v="4"/>
  </r>
  <r>
    <s v="F0095"/>
    <d v="2026-06-21T00:00:00"/>
    <s v="D02"/>
    <s v="C03"/>
    <n v="6.1"/>
    <n v="41076.199999999997"/>
    <n v="3393.6"/>
    <n v="37682.6"/>
    <s v="Farm Gate"/>
    <n v="6.58"/>
    <n v="7538.2"/>
    <n v="6733.8032786885242"/>
    <n v="8.2617184647070574E-2"/>
    <n v="247951.508"/>
    <n v="240413.30799999999"/>
    <s v="OK"/>
    <x v="1"/>
    <x v="4"/>
  </r>
  <r>
    <s v="F0153"/>
    <d v="2025-07-29T00:00:00"/>
    <s v="D03"/>
    <s v="C01"/>
    <n v="5.7"/>
    <n v="7079.7"/>
    <n v="967.4"/>
    <n v="6112.3"/>
    <s v="Wholesaler"/>
    <n v="3.77"/>
    <n v="9096.2099999999991"/>
    <n v="1242.0526315789473"/>
    <n v="0.13664420808791333"/>
    <n v="23043.370999999999"/>
    <n v="13947.161"/>
    <s v="OK"/>
    <x v="0"/>
    <x v="0"/>
  </r>
  <r>
    <s v="F0054"/>
    <d v="2025-08-12T00:00:00"/>
    <s v="D01"/>
    <s v="C05"/>
    <n v="12.7"/>
    <n v="16565.3"/>
    <n v="712.6"/>
    <n v="15852.7"/>
    <s v="Farm Gate"/>
    <n v="5.01"/>
    <n v="8571.9500000000007"/>
    <n v="1304.3543307086613"/>
    <n v="4.3017633245398514E-2"/>
    <n v="79422.027000000002"/>
    <n v="70850.077000000005"/>
    <s v="OK"/>
    <x v="5"/>
    <x v="3"/>
  </r>
  <r>
    <s v="F0179"/>
    <d v="2025-10-07T00:00:00"/>
    <s v="D04"/>
    <s v="C01"/>
    <n v="9.5"/>
    <n v="22092.400000000001"/>
    <n v="1998.5"/>
    <n v="20093.900000000001"/>
    <s v="Wholesaler"/>
    <n v="3.11"/>
    <n v="11335.89"/>
    <n v="2325.5157894736844"/>
    <n v="9.0460973004291068E-2"/>
    <n v="62492.029000000002"/>
    <n v="51156.139000000003"/>
    <s v="OK"/>
    <x v="0"/>
    <x v="2"/>
  </r>
  <r>
    <s v="F0048"/>
    <d v="2025-09-11T00:00:00"/>
    <s v="D03"/>
    <s v="C05"/>
    <n v="3.2"/>
    <n v="4931.3"/>
    <n v="243.6"/>
    <n v="4687.7"/>
    <s v="Farm Gate"/>
    <n v="4.18"/>
    <n v="5548.13"/>
    <n v="1541.03125"/>
    <n v="4.9398738669316405E-2"/>
    <n v="19594.585999999999"/>
    <n v="14046.455999999998"/>
    <s v="OK"/>
    <x v="5"/>
    <x v="0"/>
  </r>
  <r>
    <s v="F0068"/>
    <d v="2026-02-06T00:00:00"/>
    <s v="D05"/>
    <s v="C03"/>
    <n v="11.4"/>
    <n v="91039.1"/>
    <n v="13555.7"/>
    <n v="77483.399999999994"/>
    <s v="Farm Gate"/>
    <n v="7.61"/>
    <n v="19819.150000000001"/>
    <n v="7985.8859649122805"/>
    <n v="0.14889975845543288"/>
    <n v="589648.674"/>
    <n v="569829.52399999998"/>
    <s v="OK"/>
    <x v="1"/>
    <x v="1"/>
  </r>
  <r>
    <s v="F0048"/>
    <d v="2026-04-13T00:00:00"/>
    <s v="D04"/>
    <s v="C02"/>
    <n v="5.3"/>
    <n v="12303.9"/>
    <n v="1147"/>
    <n v="11156.9"/>
    <s v="Processor"/>
    <n v="6.66"/>
    <n v="6788.8"/>
    <n v="2321.4905660377358"/>
    <n v="9.322247417485513E-2"/>
    <n v="74304.953999999998"/>
    <n v="67516.153999999995"/>
    <s v="OK"/>
    <x v="2"/>
    <x v="2"/>
  </r>
  <r>
    <s v="F0035"/>
    <d v="2025-11-10T00:00:00"/>
    <s v="D04"/>
    <s v="C03"/>
    <n v="2.5"/>
    <n v="15544.5"/>
    <n v="1826.5"/>
    <n v="13718"/>
    <s v="Farm Gate"/>
    <n v="5.77"/>
    <n v="3872.74"/>
    <n v="6217.8"/>
    <n v="0.11750136704300557"/>
    <n v="79152.86"/>
    <n v="75280.12"/>
    <s v="OK"/>
    <x v="1"/>
    <x v="2"/>
  </r>
  <r>
    <s v="F0199"/>
    <d v="2025-08-17T00:00:00"/>
    <s v="D01"/>
    <s v="C02"/>
    <n v="10.199999999999999"/>
    <n v="23011.3"/>
    <n v="831.5"/>
    <n v="22179.8"/>
    <s v="Local Market"/>
    <n v="5.71"/>
    <n v="10029.36"/>
    <n v="2256.0098039215686"/>
    <n v="3.6134420914941789E-2"/>
    <n v="126646.658"/>
    <n v="116617.298"/>
    <s v="OK"/>
    <x v="2"/>
    <x v="3"/>
  </r>
  <r>
    <s v="F0114"/>
    <d v="2026-02-23T00:00:00"/>
    <s v="D01"/>
    <s v="C02"/>
    <n v="4.9000000000000004"/>
    <n v="14012.8"/>
    <n v="1421.6"/>
    <n v="12591.2"/>
    <s v="Wholesaler"/>
    <n v="6.7"/>
    <n v="4047.1"/>
    <n v="2859.7551020408159"/>
    <n v="0.10145010276318794"/>
    <n v="84361.040000000008"/>
    <n v="80313.94"/>
    <s v="OK"/>
    <x v="2"/>
    <x v="3"/>
  </r>
  <r>
    <s v="F0148"/>
    <d v="2026-02-15T00:00:00"/>
    <s v="D04"/>
    <s v="C05"/>
    <n v="1.6"/>
    <n v="2937.7"/>
    <n v="422.7"/>
    <n v="2515"/>
    <s v="Wholesaler"/>
    <n v="4.16"/>
    <n v="2269.64"/>
    <n v="1836.0624999999998"/>
    <n v="0.1438880757054839"/>
    <n v="10462.4"/>
    <n v="8192.76"/>
    <s v="OK"/>
    <x v="5"/>
    <x v="2"/>
  </r>
  <r>
    <s v="F0168"/>
    <d v="2025-11-10T00:00:00"/>
    <s v="D03"/>
    <s v="C01"/>
    <n v="2.5"/>
    <n v="5979.9"/>
    <n v="397.4"/>
    <n v="5582.5"/>
    <s v="Wholesaler"/>
    <n v="3.57"/>
    <n v="2080.33"/>
    <n v="2391.96"/>
    <n v="6.6455960802020098E-2"/>
    <n v="19929.524999999998"/>
    <n v="17849.195"/>
    <s v="OK"/>
    <x v="0"/>
    <x v="0"/>
  </r>
  <r>
    <s v="F0013"/>
    <d v="2025-07-14T00:00:00"/>
    <s v="D01"/>
    <s v="C05"/>
    <n v="11.8"/>
    <n v="17994.900000000001"/>
    <n v="377.4"/>
    <n v="17617.5"/>
    <s v="Local Market"/>
    <n v="3.99"/>
    <n v="11316.81"/>
    <n v="1524.9915254237289"/>
    <n v="2.0972608905856657E-2"/>
    <n v="70293.824999999997"/>
    <n v="58977.014999999999"/>
    <s v="OK"/>
    <x v="5"/>
    <x v="3"/>
  </r>
  <r>
    <s v="F0065"/>
    <d v="2025-11-19T00:00:00"/>
    <s v="D05"/>
    <s v="C05"/>
    <n v="10.1"/>
    <n v="16908.3"/>
    <n v="1456.6"/>
    <n v="15451.7"/>
    <s v="Farm Gate"/>
    <n v="3.97"/>
    <n v="17792.97"/>
    <n v="1674.0891089108911"/>
    <n v="8.6147040211020626E-2"/>
    <n v="61343.249000000003"/>
    <n v="43550.279000000002"/>
    <s v="OK"/>
    <x v="5"/>
    <x v="1"/>
  </r>
  <r>
    <s v="F0010"/>
    <d v="2025-10-02T00:00:00"/>
    <s v="D03"/>
    <s v="C02"/>
    <n v="7"/>
    <n v="16115.5"/>
    <n v="2173"/>
    <n v="13942.5"/>
    <s v="Local Market"/>
    <n v="5.27"/>
    <n v="8933.73"/>
    <n v="2302.2142857142858"/>
    <n v="0.13483913003009526"/>
    <n v="73476.974999999991"/>
    <n v="64543.244999999995"/>
    <s v="OK"/>
    <x v="2"/>
    <x v="0"/>
  </r>
  <r>
    <s v="F0113"/>
    <d v="2026-05-28T00:00:00"/>
    <s v="D05"/>
    <s v="C06"/>
    <n v="9.5"/>
    <n v="75019.600000000006"/>
    <n v="8742.2000000000007"/>
    <n v="66277.399999999994"/>
    <s v="Wholesaler"/>
    <n v="2.48"/>
    <n v="12791.86"/>
    <n v="7896.8"/>
    <n v="0.11653221291502487"/>
    <n v="164367.95199999999"/>
    <n v="151576.092"/>
    <s v="OK"/>
    <x v="4"/>
    <x v="1"/>
  </r>
  <r>
    <s v="F0039"/>
    <d v="2026-05-19T00:00:00"/>
    <s v="D04"/>
    <s v="C04"/>
    <n v="4.0999999999999996"/>
    <n v="14512.5"/>
    <n v="1150.4000000000001"/>
    <n v="13362.1"/>
    <s v="Farm Gate"/>
    <n v="8.74"/>
    <n v="5964.55"/>
    <n v="3539.6341463414637"/>
    <n v="7.9269595176571922E-2"/>
    <n v="116784.754"/>
    <n v="110820.204"/>
    <s v="OK"/>
    <x v="3"/>
    <x v="2"/>
  </r>
  <r>
    <s v="F0140"/>
    <d v="2025-09-11T00:00:00"/>
    <s v="D04"/>
    <s v="C04"/>
    <n v="4.0999999999999996"/>
    <n v="22678.9"/>
    <n v="2855.1"/>
    <n v="19823.8"/>
    <s v="Wholesaler"/>
    <n v="9.7100000000000009"/>
    <n v="5721.01"/>
    <n v="5531.4390243902444"/>
    <n v="0.12589234927619944"/>
    <n v="192489.098"/>
    <n v="186768.08799999999"/>
    <s v="OK"/>
    <x v="3"/>
    <x v="2"/>
  </r>
  <r>
    <s v="F0084"/>
    <d v="2025-12-22T00:00:00"/>
    <s v="D04"/>
    <s v="C06"/>
    <n v="12.8"/>
    <n v="84508.5"/>
    <n v="4699.3999999999996"/>
    <n v="79809.100000000006"/>
    <s v="Local Market"/>
    <n v="2.76"/>
    <n v="10892.41"/>
    <n v="6602.2265625"/>
    <n v="5.5608607418188696E-2"/>
    <n v="220273.11600000001"/>
    <n v="209380.70600000001"/>
    <s v="OK"/>
    <x v="4"/>
    <x v="2"/>
  </r>
  <r>
    <s v="F0026"/>
    <d v="2026-05-21T00:00:00"/>
    <s v="D05"/>
    <s v="C01"/>
    <n v="7.8"/>
    <n v="16260.1"/>
    <n v="551.79999999999995"/>
    <n v="15708.3"/>
    <s v="Processor"/>
    <n v="3.36"/>
    <n v="7964.03"/>
    <n v="2084.6282051282051"/>
    <n v="3.3935830652948008E-2"/>
    <n v="52779.887999999999"/>
    <n v="44815.858"/>
    <s v="OK"/>
    <x v="0"/>
    <x v="1"/>
  </r>
  <r>
    <s v="F0057"/>
    <d v="2025-08-09T00:00:00"/>
    <s v="D04"/>
    <s v="C02"/>
    <n v="9.6999999999999993"/>
    <n v="21005.9"/>
    <n v="1143.9000000000001"/>
    <n v="19862"/>
    <s v="Processor"/>
    <n v="6.54"/>
    <n v="8834.94"/>
    <n v="2165.5567010309283"/>
    <n v="5.4456128992330724E-2"/>
    <n v="129897.48"/>
    <n v="121062.54"/>
    <s v="OK"/>
    <x v="2"/>
    <x v="2"/>
  </r>
  <r>
    <s v="F0071"/>
    <d v="2026-03-17T00:00:00"/>
    <s v="D03"/>
    <s v="C01"/>
    <n v="10.6"/>
    <n v="21811.599999999999"/>
    <n v="2009.4"/>
    <n v="19802.2"/>
    <s v="Local Market"/>
    <n v="3.39"/>
    <n v="7908.03"/>
    <n v="2057.6981132075471"/>
    <n v="9.2125291129490736E-2"/>
    <n v="67129.457999999999"/>
    <n v="59221.428"/>
    <s v="OK"/>
    <x v="0"/>
    <x v="0"/>
  </r>
  <r>
    <s v="F0057"/>
    <d v="2026-03-17T00:00:00"/>
    <s v="D01"/>
    <s v="C03"/>
    <n v="6.6"/>
    <n v="57548.6"/>
    <n v="9037.2000000000007"/>
    <n v="48511.4"/>
    <s v="Local Market"/>
    <n v="6.54"/>
    <n v="10475.68"/>
    <n v="8719.484848484848"/>
    <n v="0.15703596612254686"/>
    <n v="317264.55599999998"/>
    <n v="306788.87599999999"/>
    <s v="OK"/>
    <x v="1"/>
    <x v="3"/>
  </r>
  <r>
    <s v="F0095"/>
    <d v="2026-05-21T00:00:00"/>
    <s v="D02"/>
    <s v="C03"/>
    <n v="14.9"/>
    <n v="106343.3"/>
    <n v="5127"/>
    <n v="101216.3"/>
    <s v="Processor"/>
    <n v="6.27"/>
    <n v="12403.77"/>
    <n v="7137.1342281879197"/>
    <n v="4.8211782030461718E-2"/>
    <n v="634626.201"/>
    <n v="622222.43099999998"/>
    <s v="OK"/>
    <x v="1"/>
    <x v="4"/>
  </r>
  <r>
    <s v="F0122"/>
    <d v="2026-06-30T00:00:00"/>
    <s v="D02"/>
    <s v="C03"/>
    <n v="2.6"/>
    <n v="13737.1"/>
    <n v="1380.9"/>
    <n v="12356.2"/>
    <s v="Processor"/>
    <n v="5.69"/>
    <n v="2928.52"/>
    <n v="5283.5"/>
    <n v="0.10052340013539976"/>
    <n v="70306.778000000006"/>
    <n v="67378.258000000002"/>
    <s v="OK"/>
    <x v="1"/>
    <x v="4"/>
  </r>
  <r>
    <s v="F0194"/>
    <d v="2026-06-11T00:00:00"/>
    <s v="D05"/>
    <s v="C05"/>
    <n v="8.4"/>
    <n v="8537.7000000000007"/>
    <n v="1297"/>
    <n v="7240.7"/>
    <s v="Local Market"/>
    <n v="3.97"/>
    <n v="12197.64"/>
    <n v="1016.3928571428572"/>
    <n v="0.15191445002752496"/>
    <n v="28745.579000000002"/>
    <n v="16547.939000000002"/>
    <s v="OK"/>
    <x v="5"/>
    <x v="1"/>
  </r>
  <r>
    <s v="F0124"/>
    <d v="2026-05-11T00:00:00"/>
    <s v="D04"/>
    <s v="C06"/>
    <n v="2.9"/>
    <n v="12575.6"/>
    <n v="927.1"/>
    <n v="11648.5"/>
    <s v="Local Market"/>
    <n v="2.2200000000000002"/>
    <n v="3597.27"/>
    <n v="4336.4137931034484"/>
    <n v="7.3722128566430234E-2"/>
    <n v="25859.670000000002"/>
    <n v="22262.400000000001"/>
    <s v="OK"/>
    <x v="4"/>
    <x v="2"/>
  </r>
  <r>
    <s v="F0084"/>
    <d v="2025-12-09T00:00:00"/>
    <s v="D03"/>
    <s v="C01"/>
    <n v="12.9"/>
    <n v="16413.599999999999"/>
    <n v="1733.4"/>
    <n v="14680.2"/>
    <s v="Wholesaler"/>
    <n v="3.46"/>
    <n v="20625.63"/>
    <n v="1272.3720930232557"/>
    <n v="0.10560754496271386"/>
    <n v="50793.491999999998"/>
    <n v="30167.861999999997"/>
    <s v="OK"/>
    <x v="0"/>
    <x v="0"/>
  </r>
  <r>
    <s v="F0015"/>
    <d v="2026-03-30T00:00:00"/>
    <s v="D04"/>
    <s v="C06"/>
    <n v="9.1999999999999993"/>
    <n v="46670.9"/>
    <n v="4916.1000000000004"/>
    <n v="41754.800000000003"/>
    <s v="Farm Gate"/>
    <n v="2.41"/>
    <n v="8931.4500000000007"/>
    <n v="5072.9239130434789"/>
    <n v="0.10533544457038541"/>
    <n v="100629.06800000001"/>
    <n v="91697.618000000017"/>
    <s v="OK"/>
    <x v="4"/>
    <x v="2"/>
  </r>
  <r>
    <s v="F0125"/>
    <d v="2026-03-01T00:00:00"/>
    <s v="D02"/>
    <s v="C04"/>
    <n v="5.8"/>
    <n v="22486"/>
    <n v="2859.1"/>
    <n v="19626.900000000001"/>
    <s v="Processor"/>
    <n v="7.91"/>
    <n v="6605.17"/>
    <n v="3876.8965517241381"/>
    <n v="0.12715022680779151"/>
    <n v="155248.77900000001"/>
    <n v="148643.609"/>
    <s v="OK"/>
    <x v="3"/>
    <x v="4"/>
  </r>
  <r>
    <s v="F0058"/>
    <d v="2026-06-05T00:00:00"/>
    <s v="D03"/>
    <s v="C06"/>
    <n v="14.8"/>
    <n v="114185.8"/>
    <n v="7827.9"/>
    <n v="106357.9"/>
    <s v="Local Market"/>
    <n v="2.2799999999999998"/>
    <n v="21019.18"/>
    <n v="7715.2567567567567"/>
    <n v="6.8554058385543556E-2"/>
    <n v="242496.01199999996"/>
    <n v="221476.83199999997"/>
    <s v="OK"/>
    <x v="4"/>
    <x v="0"/>
  </r>
  <r>
    <s v="F0141"/>
    <d v="2025-09-11T00:00:00"/>
    <s v="D03"/>
    <s v="C04"/>
    <n v="7.9"/>
    <n v="44592.7"/>
    <n v="3186.5"/>
    <n v="41406.199999999997"/>
    <s v="Local Market"/>
    <n v="7.75"/>
    <n v="6399.82"/>
    <n v="5644.6455696202529"/>
    <n v="7.1457884362238669E-2"/>
    <n v="320898.05"/>
    <n v="314498.23"/>
    <s v="OK"/>
    <x v="3"/>
    <x v="0"/>
  </r>
  <r>
    <s v="F0047"/>
    <d v="2025-07-27T00:00:00"/>
    <s v="D03"/>
    <s v="C03"/>
    <n v="3.1"/>
    <n v="19429.8"/>
    <n v="2963.4"/>
    <n v="16466.400000000001"/>
    <s v="Farm Gate"/>
    <n v="7.17"/>
    <n v="4481.57"/>
    <n v="6267.6774193548381"/>
    <n v="0.15251829663712443"/>
    <n v="118064.088"/>
    <n v="113582.51800000001"/>
    <s v="OK"/>
    <x v="1"/>
    <x v="0"/>
  </r>
  <r>
    <s v="F0027"/>
    <d v="2025-12-12T00:00:00"/>
    <s v="D05"/>
    <s v="C01"/>
    <n v="7.2"/>
    <n v="15841"/>
    <n v="1925.3"/>
    <n v="13915.7"/>
    <s v="Wholesaler"/>
    <n v="2.73"/>
    <n v="10544.01"/>
    <n v="2200.1388888888887"/>
    <n v="0.1215390442522568"/>
    <n v="37989.861000000004"/>
    <n v="27445.851000000002"/>
    <s v="OK"/>
    <x v="0"/>
    <x v="1"/>
  </r>
  <r>
    <s v="F0118"/>
    <d v="2025-09-11T00:00:00"/>
    <s v="D02"/>
    <s v="C05"/>
    <n v="9.3000000000000007"/>
    <n v="16909.7"/>
    <n v="1140.2"/>
    <n v="15769.5"/>
    <s v="Processor"/>
    <n v="4.32"/>
    <n v="9720.18"/>
    <n v="1818.247311827957"/>
    <n v="6.7428753910477424E-2"/>
    <n v="68124.240000000005"/>
    <n v="58404.060000000005"/>
    <s v="OK"/>
    <x v="5"/>
    <x v="4"/>
  </r>
  <r>
    <s v="F0136"/>
    <d v="2025-09-27T00:00:00"/>
    <s v="D04"/>
    <s v="C05"/>
    <n v="13.4"/>
    <n v="17695"/>
    <n v="1669.3"/>
    <n v="16025.7"/>
    <s v="Processor"/>
    <n v="4.41"/>
    <n v="15247.51"/>
    <n v="1320.5223880597014"/>
    <n v="9.4337383441650186E-2"/>
    <n v="70673.337"/>
    <n v="55425.826999999997"/>
    <s v="OK"/>
    <x v="5"/>
    <x v="2"/>
  </r>
  <r>
    <s v="F0114"/>
    <d v="2025-10-30T00:00:00"/>
    <s v="D05"/>
    <s v="C04"/>
    <n v="6.6"/>
    <n v="30945.9"/>
    <n v="4568.8999999999996"/>
    <n v="26377"/>
    <s v="Farm Gate"/>
    <n v="8.3800000000000008"/>
    <n v="5662.07"/>
    <n v="4688.7727272727279"/>
    <n v="0.14764152924943205"/>
    <n v="221039.26"/>
    <n v="215377.19"/>
    <s v="OK"/>
    <x v="3"/>
    <x v="1"/>
  </r>
  <r>
    <s v="F0086"/>
    <d v="2026-04-01T00:00:00"/>
    <s v="D03"/>
    <s v="C03"/>
    <n v="14.6"/>
    <n v="98681"/>
    <n v="12629.8"/>
    <n v="86051.199999999997"/>
    <s v="Processor"/>
    <n v="5.64"/>
    <n v="23556.63"/>
    <n v="6758.9726027397264"/>
    <n v="0.12798613714899523"/>
    <n v="485328.76799999998"/>
    <n v="461772.13799999998"/>
    <s v="OK"/>
    <x v="1"/>
    <x v="0"/>
  </r>
  <r>
    <s v="F0200"/>
    <d v="2025-07-27T00:00:00"/>
    <s v="D01"/>
    <s v="C06"/>
    <n v="2.2000000000000002"/>
    <n v="9872.1"/>
    <n v="1092.8"/>
    <n v="8779.2999999999993"/>
    <s v="Local Market"/>
    <n v="2.4900000000000002"/>
    <n v="1748.75"/>
    <n v="4487.318181818182"/>
    <n v="0.11069579927269779"/>
    <n v="21860.456999999999"/>
    <n v="20111.706999999999"/>
    <s v="OK"/>
    <x v="4"/>
    <x v="3"/>
  </r>
  <r>
    <s v="F0001"/>
    <d v="2026-01-02T00:00:00"/>
    <s v="D05"/>
    <s v="C04"/>
    <n v="10.5"/>
    <n v="51274.6"/>
    <n v="2598.3000000000002"/>
    <n v="48676.3"/>
    <s v="Processor"/>
    <n v="9.7799999999999994"/>
    <n v="12766.05"/>
    <n v="4883.2952380952383"/>
    <n v="5.0674212963143547E-2"/>
    <n v="476054.21399999998"/>
    <n v="463288.16399999999"/>
    <s v="OK"/>
    <x v="3"/>
    <x v="1"/>
  </r>
  <r>
    <s v="F0016"/>
    <d v="2025-11-08T00:00:00"/>
    <s v="D03"/>
    <s v="C03"/>
    <n v="10.1"/>
    <n v="81210.100000000006"/>
    <n v="6327.6"/>
    <n v="74882.5"/>
    <s v="Processor"/>
    <n v="7.77"/>
    <n v="7596.41"/>
    <n v="8040.6039603960407"/>
    <n v="7.7916416800373353E-2"/>
    <n v="581837.02500000002"/>
    <n v="574240.61499999999"/>
    <s v="OK"/>
    <x v="1"/>
    <x v="0"/>
  </r>
  <r>
    <s v="F0087"/>
    <d v="2026-03-23T00:00:00"/>
    <s v="D01"/>
    <s v="C06"/>
    <n v="1.3"/>
    <n v="8567.5"/>
    <n v="1046"/>
    <n v="7521.5"/>
    <s v="Farm Gate"/>
    <n v="2.31"/>
    <n v="1580.94"/>
    <n v="6590.3846153846152"/>
    <n v="0.1220892909250073"/>
    <n v="17374.665000000001"/>
    <n v="15793.725"/>
    <s v="OK"/>
    <x v="4"/>
    <x v="3"/>
  </r>
  <r>
    <s v="F0206"/>
    <d v="2026-06-12T00:00:00"/>
    <s v="D03"/>
    <s v="C06"/>
    <n v="2.2000000000000002"/>
    <n v="10450.799999999999"/>
    <n v="1129.4000000000001"/>
    <n v="9321.4"/>
    <s v="Farm Gate"/>
    <n v="2.27"/>
    <n v="1688.01"/>
    <n v="4750.363636363636"/>
    <n v="0.10806828185402076"/>
    <n v="21159.577999999998"/>
    <n v="19471.567999999999"/>
    <s v="OK"/>
    <x v="4"/>
    <x v="0"/>
  </r>
  <r>
    <s v="F0116"/>
    <d v="2026-04-07T00:00:00"/>
    <s v="D01"/>
    <s v="C04"/>
    <n v="2"/>
    <n v="7935.4"/>
    <n v="1149"/>
    <n v="6786.4"/>
    <s v="Local Market"/>
    <n v="9.6199999999999992"/>
    <n v="1799.74"/>
    <n v="3967.7"/>
    <n v="0.14479421327217279"/>
    <n v="65285.167999999991"/>
    <n v="63485.427999999993"/>
    <s v="OK"/>
    <x v="3"/>
    <x v="3"/>
  </r>
  <r>
    <s v="F0084"/>
    <d v="2025-12-20T00:00:00"/>
    <s v="D03"/>
    <s v="C06"/>
    <n v="8.8000000000000007"/>
    <n v="47823.8"/>
    <n v="3709.4"/>
    <n v="44114.400000000001"/>
    <s v="Processor"/>
    <n v="2.56"/>
    <n v="6803.75"/>
    <n v="5434.522727272727"/>
    <n v="7.7563890782413769E-2"/>
    <n v="112932.864"/>
    <n v="106129.114"/>
    <s v="OK"/>
    <x v="4"/>
    <x v="0"/>
  </r>
  <r>
    <s v="F0218"/>
    <d v="2025-10-21T00:00:00"/>
    <s v="D03"/>
    <s v="C05"/>
    <n v="2.5"/>
    <n v="4866.8"/>
    <n v="727.4"/>
    <n v="4139.3999999999996"/>
    <s v="Processor"/>
    <n v="4.8499999999999996"/>
    <n v="3919.14"/>
    <n v="1946.72"/>
    <n v="0.14946165858469629"/>
    <n v="20076.089999999997"/>
    <n v="16156.949999999997"/>
    <s v="OK"/>
    <x v="5"/>
    <x v="0"/>
  </r>
  <r>
    <s v="F0134"/>
    <d v="2026-06-15T00:00:00"/>
    <s v="D01"/>
    <s v="C03"/>
    <n v="5.9"/>
    <n v="46094.1"/>
    <n v="4577.3999999999996"/>
    <n v="41516.699999999997"/>
    <s v="Farm Gate"/>
    <n v="6.88"/>
    <n v="7213.9"/>
    <n v="7812.5593220338978"/>
    <n v="9.9305551035815856E-2"/>
    <n v="285634.89599999995"/>
    <n v="278420.99599999993"/>
    <s v="OK"/>
    <x v="1"/>
    <x v="3"/>
  </r>
  <r>
    <s v="F0186"/>
    <d v="2025-07-28T00:00:00"/>
    <s v="D01"/>
    <s v="C03"/>
    <n v="12.4"/>
    <n v="122739"/>
    <n v="16046.5"/>
    <n v="106692.5"/>
    <s v="Local Market"/>
    <n v="6.01"/>
    <n v="10716.54"/>
    <n v="9898.3064516129034"/>
    <n v="0.13073676663489192"/>
    <n v="641221.92499999993"/>
    <n v="630505.38499999989"/>
    <s v="OK"/>
    <x v="1"/>
    <x v="3"/>
  </r>
  <r>
    <s v="F0010"/>
    <d v="2026-03-01T00:00:00"/>
    <s v="D05"/>
    <s v="C06"/>
    <n v="3.1"/>
    <n v="17188.3"/>
    <n v="2397.1999999999998"/>
    <n v="14791.1"/>
    <s v="Local Market"/>
    <n v="2.29"/>
    <n v="2290.7600000000002"/>
    <n v="5544.6129032258059"/>
    <n v="0.13946696299226799"/>
    <n v="33871.618999999999"/>
    <n v="31580.858999999997"/>
    <s v="OK"/>
    <x v="4"/>
    <x v="1"/>
  </r>
  <r>
    <s v="F0104"/>
    <d v="2025-09-05T00:00:00"/>
    <s v="D01"/>
    <s v="C06"/>
    <n v="2.5"/>
    <n v="18137"/>
    <n v="1606.1"/>
    <n v="16530.900000000001"/>
    <s v="Wholesaler"/>
    <n v="2.77"/>
    <n v="4402.42"/>
    <n v="7254.8"/>
    <n v="8.8553785080222741E-2"/>
    <n v="45790.593000000001"/>
    <n v="41388.173000000003"/>
    <s v="OK"/>
    <x v="4"/>
    <x v="3"/>
  </r>
  <r>
    <s v="F0174"/>
    <d v="2025-10-14T00:00:00"/>
    <s v="D04"/>
    <s v="C04"/>
    <n v="14"/>
    <n v="61636.800000000003"/>
    <n v="4327.5"/>
    <n v="57309.3"/>
    <s v="Wholesaler"/>
    <n v="8.16"/>
    <n v="11784.09"/>
    <n v="4402.6285714285714"/>
    <n v="7.020967993146951E-2"/>
    <n v="467643.88800000004"/>
    <n v="455859.79800000001"/>
    <s v="OK"/>
    <x v="3"/>
    <x v="2"/>
  </r>
  <r>
    <s v="F0122"/>
    <d v="2026-05-07T00:00:00"/>
    <s v="D02"/>
    <s v="C03"/>
    <n v="10.5"/>
    <n v="92389.2"/>
    <n v="14612"/>
    <n v="77777.2"/>
    <s v="Local Market"/>
    <n v="7.3"/>
    <n v="18320.689999999999"/>
    <n v="8798.971428571429"/>
    <n v="0.15815701402328411"/>
    <n v="567773.55999999994"/>
    <n v="549452.87"/>
    <s v="OK"/>
    <x v="1"/>
    <x v="4"/>
  </r>
  <r>
    <s v="F0112"/>
    <d v="2026-03-07T00:00:00"/>
    <s v="D05"/>
    <s v="C02"/>
    <n v="13.5"/>
    <n v="32586.2"/>
    <n v="1055.0999999999999"/>
    <n v="31531.1"/>
    <s v="Farm Gate"/>
    <n v="5.52"/>
    <n v="18948.650000000001"/>
    <n v="2413.7925925925924"/>
    <n v="3.2378737011372907E-2"/>
    <n v="174051.67199999999"/>
    <n v="155103.022"/>
    <s v="OK"/>
    <x v="2"/>
    <x v="1"/>
  </r>
  <r>
    <s v="F0041"/>
    <d v="2025-08-02T00:00:00"/>
    <s v="D01"/>
    <s v="C02"/>
    <n v="4"/>
    <n v="7874.8"/>
    <n v="1255.0999999999999"/>
    <n v="6619.7"/>
    <s v="Wholesaler"/>
    <n v="6.25"/>
    <n v="5460.32"/>
    <n v="1968.7"/>
    <n v="0.15938182557017319"/>
    <n v="41373.125"/>
    <n v="35912.805"/>
    <s v="OK"/>
    <x v="2"/>
    <x v="3"/>
  </r>
  <r>
    <s v="F0025"/>
    <d v="2025-11-11T00:00:00"/>
    <s v="D04"/>
    <s v="C02"/>
    <n v="4.4000000000000004"/>
    <n v="12859.7"/>
    <n v="633.9"/>
    <n v="12225.8"/>
    <s v="Wholesaler"/>
    <n v="6.26"/>
    <n v="4052.62"/>
    <n v="2922.659090909091"/>
    <n v="4.9293529398041942E-2"/>
    <n v="76533.507999999987"/>
    <n v="72480.887999999992"/>
    <s v="OK"/>
    <x v="2"/>
    <x v="2"/>
  </r>
  <r>
    <s v="F0043"/>
    <d v="2026-04-06T00:00:00"/>
    <s v="D03"/>
    <s v="C05"/>
    <n v="7.9"/>
    <n v="10537.7"/>
    <n v="584.20000000000005"/>
    <n v="9953.5"/>
    <s v="Wholesaler"/>
    <n v="4.82"/>
    <n v="11453.45"/>
    <n v="1333.8860759493671"/>
    <n v="5.5439042675346613E-2"/>
    <n v="47975.87"/>
    <n v="36522.42"/>
    <s v="OK"/>
    <x v="5"/>
    <x v="0"/>
  </r>
  <r>
    <s v="F0070"/>
    <d v="2025-12-31T00:00:00"/>
    <s v="D04"/>
    <s v="C03"/>
    <n v="14.7"/>
    <n v="100934.3"/>
    <n v="14569.3"/>
    <n v="86365"/>
    <s v="Wholesaler"/>
    <n v="6.54"/>
    <n v="15478.57"/>
    <n v="6866.2789115646265"/>
    <n v="0.1443443903608585"/>
    <n v="564827.1"/>
    <n v="549348.53"/>
    <s v="OK"/>
    <x v="1"/>
    <x v="2"/>
  </r>
  <r>
    <s v="F0154"/>
    <d v="2025-07-25T00:00:00"/>
    <s v="D02"/>
    <s v="C06"/>
    <n v="12.3"/>
    <n v="88632.9"/>
    <n v="2241.4"/>
    <n v="86391.5"/>
    <s v="Wholesaler"/>
    <n v="2.73"/>
    <n v="8488.02"/>
    <n v="7205.9268292682918"/>
    <n v="2.5288577943404767E-2"/>
    <n v="235848.79500000001"/>
    <n v="227360.77500000002"/>
    <s v="OK"/>
    <x v="4"/>
    <x v="4"/>
  </r>
  <r>
    <s v="F0201"/>
    <d v="2026-02-26T00:00:00"/>
    <s v="D03"/>
    <s v="C04"/>
    <n v="5.9"/>
    <n v="26033.8"/>
    <n v="3427.4"/>
    <n v="22606.400000000001"/>
    <s v="Processor"/>
    <n v="10.08"/>
    <n v="7067.05"/>
    <n v="4412.5084745762706"/>
    <n v="0.13165192941483764"/>
    <n v="227872.51200000002"/>
    <n v="220805.46200000003"/>
    <s v="OK"/>
    <x v="3"/>
    <x v="0"/>
  </r>
  <r>
    <s v="F0195"/>
    <d v="2026-03-10T00:00:00"/>
    <s v="D05"/>
    <s v="C02"/>
    <n v="4.2"/>
    <n v="9640.9"/>
    <n v="227.7"/>
    <n v="9413.2000000000007"/>
    <s v="Farm Gate"/>
    <n v="5.34"/>
    <n v="3011.2"/>
    <n v="2295.4523809523807"/>
    <n v="2.3618126938356378E-2"/>
    <n v="50266.488000000005"/>
    <n v="47255.288000000008"/>
    <s v="OK"/>
    <x v="2"/>
    <x v="1"/>
  </r>
  <r>
    <s v="F0078"/>
    <d v="2025-07-03T00:00:00"/>
    <s v="D04"/>
    <s v="C03"/>
    <n v="5.4"/>
    <n v="47844.6"/>
    <n v="2780.7"/>
    <n v="45063.9"/>
    <s v="Local Market"/>
    <n v="5.65"/>
    <n v="6974.45"/>
    <n v="8860.1111111111095"/>
    <n v="5.8119411595038938E-2"/>
    <n v="254611.03500000003"/>
    <n v="247636.58500000002"/>
    <s v="OK"/>
    <x v="1"/>
    <x v="2"/>
  </r>
  <r>
    <s v="F0181"/>
    <d v="2026-01-01T00:00:00"/>
    <s v="D01"/>
    <s v="C06"/>
    <n v="13.9"/>
    <n v="108880.4"/>
    <n v="4220.7"/>
    <n v="104659.7"/>
    <s v="Processor"/>
    <n v="2.46"/>
    <n v="23681.11"/>
    <n v="7833.1223021582728"/>
    <n v="3.8764552665126135E-2"/>
    <n v="257462.86199999999"/>
    <n v="233781.75199999998"/>
    <s v="OK"/>
    <x v="4"/>
    <x v="3"/>
  </r>
  <r>
    <s v="F0175"/>
    <d v="2025-12-15T00:00:00"/>
    <s v="D01"/>
    <s v="C05"/>
    <n v="6"/>
    <n v="11563.8"/>
    <n v="1799"/>
    <n v="9764.7999999999993"/>
    <s v="Processor"/>
    <n v="4.5"/>
    <n v="4042.21"/>
    <n v="1927.3"/>
    <n v="0.15557169788477837"/>
    <n v="43941.599999999999"/>
    <n v="39899.39"/>
    <s v="OK"/>
    <x v="5"/>
    <x v="3"/>
  </r>
  <r>
    <s v="F0173"/>
    <d v="2025-07-03T00:00:00"/>
    <s v="D03"/>
    <s v="C03"/>
    <n v="3.6"/>
    <n v="21505.4"/>
    <n v="2715.9"/>
    <n v="18789.5"/>
    <s v="Wholesaler"/>
    <n v="7.08"/>
    <n v="5997.39"/>
    <n v="5973.7222222222226"/>
    <n v="0.1262892110818678"/>
    <n v="133029.66"/>
    <n v="127032.27"/>
    <s v="OK"/>
    <x v="1"/>
    <x v="0"/>
  </r>
  <r>
    <s v="F0016"/>
    <d v="2025-09-12T00:00:00"/>
    <s v="D05"/>
    <s v="C06"/>
    <n v="6.3"/>
    <n v="29171.5"/>
    <n v="4117.8"/>
    <n v="25053.7"/>
    <s v="Farm Gate"/>
    <n v="2.15"/>
    <n v="11065.77"/>
    <n v="4630.3968253968251"/>
    <n v="0.14115832233515591"/>
    <n v="53865.455000000002"/>
    <n v="42799.684999999998"/>
    <s v="OK"/>
    <x v="4"/>
    <x v="1"/>
  </r>
  <r>
    <s v="F0188"/>
    <d v="2025-07-19T00:00:00"/>
    <s v="D04"/>
    <s v="C03"/>
    <n v="3.7"/>
    <n v="33909.5"/>
    <n v="1392.7"/>
    <n v="32516.799999999999"/>
    <s v="Farm Gate"/>
    <n v="6.88"/>
    <n v="2561.62"/>
    <n v="9164.72972972973"/>
    <n v="4.1071086273758092E-2"/>
    <n v="223715.584"/>
    <n v="221153.96400000001"/>
    <s v="OK"/>
    <x v="1"/>
    <x v="2"/>
  </r>
  <r>
    <s v="F0104"/>
    <d v="2026-03-14T00:00:00"/>
    <s v="D02"/>
    <s v="C03"/>
    <n v="9.4"/>
    <n v="48660.4"/>
    <n v="2003.8"/>
    <n v="46656.6"/>
    <s v="Local Market"/>
    <n v="6.64"/>
    <n v="15012.35"/>
    <n v="5176.6382978723404"/>
    <n v="4.1179275139538514E-2"/>
    <n v="309799.82399999996"/>
    <n v="294787.47399999999"/>
    <s v="OK"/>
    <x v="1"/>
    <x v="4"/>
  </r>
  <r>
    <s v="F0066"/>
    <d v="2025-09-29T00:00:00"/>
    <s v="D01"/>
    <s v="C01"/>
    <n v="3.6"/>
    <n v="7121.6"/>
    <n v="676.7"/>
    <n v="6444.9"/>
    <s v="Farm Gate"/>
    <n v="3.37"/>
    <n v="2591.0300000000002"/>
    <n v="1978.2222222222222"/>
    <n v="9.5020781846776009E-2"/>
    <n v="21719.312999999998"/>
    <n v="19128.282999999999"/>
    <s v="OK"/>
    <x v="0"/>
    <x v="3"/>
  </r>
  <r>
    <s v="F0203"/>
    <d v="2026-05-03T00:00:00"/>
    <s v="D05"/>
    <s v="C05"/>
    <n v="1.8"/>
    <n v="3634.5"/>
    <n v="262.8"/>
    <n v="3371.7"/>
    <s v="Processor"/>
    <n v="4.47"/>
    <n v="2701.43"/>
    <n v="2019.1666666666665"/>
    <n v="7.2307057366900546E-2"/>
    <n v="15071.498999999998"/>
    <n v="12370.068999999998"/>
    <s v="OK"/>
    <x v="5"/>
    <x v="1"/>
  </r>
  <r>
    <s v="F0005"/>
    <d v="2026-01-02T00:00:00"/>
    <s v="D03"/>
    <s v="C04"/>
    <n v="2.2999999999999998"/>
    <n v="7504.9"/>
    <n v="1160.9000000000001"/>
    <n v="6344"/>
    <s v="Processor"/>
    <n v="8.5399999999999991"/>
    <n v="4117.1099999999997"/>
    <n v="3263"/>
    <n v="0.1546856054044691"/>
    <n v="54177.759999999995"/>
    <n v="50060.649999999994"/>
    <s v="OK"/>
    <x v="3"/>
    <x v="0"/>
  </r>
  <r>
    <s v="F0211"/>
    <d v="2026-02-22T00:00:00"/>
    <s v="D03"/>
    <s v="C04"/>
    <n v="3.7"/>
    <n v="22498.1"/>
    <n v="2339"/>
    <n v="20159.099999999999"/>
    <s v="Wholesaler"/>
    <n v="8.58"/>
    <n v="3231.42"/>
    <n v="6080.5675675675666"/>
    <n v="0.10396433476604691"/>
    <n v="172965.07799999998"/>
    <n v="169733.65799999997"/>
    <s v="OK"/>
    <x v="3"/>
    <x v="0"/>
  </r>
  <r>
    <s v="F0219"/>
    <d v="2026-06-29T00:00:00"/>
    <s v="D02"/>
    <s v="C05"/>
    <n v="2.4"/>
    <n v="4295"/>
    <n v="605.29999999999995"/>
    <n v="3689.7"/>
    <s v="Local Market"/>
    <n v="4.01"/>
    <n v="3610.08"/>
    <n v="1789.5833333333335"/>
    <n v="0.14093131548311991"/>
    <n v="14795.696999999998"/>
    <n v="11185.616999999998"/>
    <s v="OK"/>
    <x v="5"/>
    <x v="4"/>
  </r>
  <r>
    <s v="F0196"/>
    <d v="2026-03-01T00:00:00"/>
    <s v="D03"/>
    <s v="C03"/>
    <n v="1.5"/>
    <n v="7443.7"/>
    <n v="1081.2"/>
    <n v="6362.5"/>
    <s v="Farm Gate"/>
    <n v="6.27"/>
    <n v="2138.5100000000002"/>
    <n v="4962.4666666666662"/>
    <n v="0.1452503459301154"/>
    <n v="39892.875"/>
    <n v="37754.364999999998"/>
    <s v="OK"/>
    <x v="1"/>
    <x v="0"/>
  </r>
  <r>
    <s v="F0102"/>
    <d v="2026-05-30T00:00:00"/>
    <s v="D05"/>
    <s v="C01"/>
    <n v="2.2999999999999998"/>
    <n v="3526.5"/>
    <n v="338.2"/>
    <n v="3188.3"/>
    <s v="Farm Gate"/>
    <n v="3.83"/>
    <n v="2407.37"/>
    <n v="1533.2608695652175"/>
    <n v="9.590245285694031E-2"/>
    <n v="12211.189"/>
    <n v="9803.8189999999995"/>
    <s v="OK"/>
    <x v="0"/>
    <x v="1"/>
  </r>
  <r>
    <s v="F0131"/>
    <d v="2026-02-24T00:00:00"/>
    <s v="D05"/>
    <s v="C03"/>
    <n v="9.6999999999999993"/>
    <n v="83934.399999999994"/>
    <n v="4245.3999999999996"/>
    <n v="79689"/>
    <s v="Wholesaler"/>
    <n v="7.72"/>
    <n v="10266.15"/>
    <n v="8653.0309278350524"/>
    <n v="5.0579976743742733E-2"/>
    <n v="615199.07999999996"/>
    <n v="604932.92999999993"/>
    <s v="OK"/>
    <x v="1"/>
    <x v="1"/>
  </r>
  <r>
    <s v="F0142"/>
    <d v="2025-08-18T00:00:00"/>
    <s v="D01"/>
    <s v="C02"/>
    <n v="13.4"/>
    <n v="26146.400000000001"/>
    <n v="3004.6"/>
    <n v="23141.8"/>
    <s v="Local Market"/>
    <n v="6"/>
    <n v="13842.68"/>
    <n v="1951.2238805970151"/>
    <n v="0.11491448153474282"/>
    <n v="138850.79999999999"/>
    <n v="125008.12"/>
    <s v="OK"/>
    <x v="2"/>
    <x v="3"/>
  </r>
  <r>
    <s v="F0139"/>
    <d v="2025-09-02T00:00:00"/>
    <s v="D03"/>
    <s v="C06"/>
    <n v="4.5"/>
    <n v="34818.400000000001"/>
    <n v="864.6"/>
    <n v="33953.800000000003"/>
    <s v="Processor"/>
    <n v="2.82"/>
    <n v="5798.14"/>
    <n v="7737.4222222222224"/>
    <n v="2.4831698182570135E-2"/>
    <n v="95749.716"/>
    <n v="89951.576000000001"/>
    <s v="OK"/>
    <x v="4"/>
    <x v="0"/>
  </r>
  <r>
    <s v="F0138"/>
    <d v="2026-05-02T00:00:00"/>
    <s v="D01"/>
    <s v="C01"/>
    <n v="10.6"/>
    <n v="15774.9"/>
    <n v="2519.6"/>
    <n v="13255.3"/>
    <s v="Wholesaler"/>
    <n v="3.55"/>
    <n v="18034.37"/>
    <n v="1488.1981132075473"/>
    <n v="0.15972209015588054"/>
    <n v="47056.314999999995"/>
    <n v="29021.944999999996"/>
    <s v="OK"/>
    <x v="0"/>
    <x v="3"/>
  </r>
  <r>
    <s v="F0017"/>
    <d v="2025-10-09T00:00:00"/>
    <s v="D02"/>
    <s v="C02"/>
    <n v="2"/>
    <n v="4260.1000000000004"/>
    <n v="125.1"/>
    <n v="4135"/>
    <s v="Farm Gate"/>
    <n v="5.27"/>
    <n v="3451.76"/>
    <n v="2130.0500000000002"/>
    <n v="2.9365507851928353E-2"/>
    <n v="21791.449999999997"/>
    <n v="18339.689999999995"/>
    <s v="OK"/>
    <x v="2"/>
    <x v="4"/>
  </r>
  <r>
    <s v="F0151"/>
    <d v="2025-12-21T00:00:00"/>
    <s v="D05"/>
    <s v="C03"/>
    <n v="14.2"/>
    <n v="136418.4"/>
    <n v="4916.8999999999996"/>
    <n v="131501.5"/>
    <s v="Wholesaler"/>
    <n v="6.04"/>
    <n v="11506.27"/>
    <n v="9606.929577464789"/>
    <n v="3.604279188144708E-2"/>
    <n v="794269.06"/>
    <n v="782762.79"/>
    <s v="OK"/>
    <x v="1"/>
    <x v="1"/>
  </r>
  <r>
    <s v="F0173"/>
    <d v="2026-03-21T00:00:00"/>
    <s v="D01"/>
    <s v="C01"/>
    <n v="2.1"/>
    <n v="4362.7"/>
    <n v="674.7"/>
    <n v="3688"/>
    <s v="Processor"/>
    <n v="3.54"/>
    <n v="2994.66"/>
    <n v="2077.4761904761904"/>
    <n v="0.15465193572787495"/>
    <n v="13055.52"/>
    <n v="10060.86"/>
    <s v="OK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B5241-43DB-4E7D-A5CF-250382B9317D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D43" firstHeaderRow="0" firstDataRow="1" firstDataCol="1" rowPageCount="1" colPageCount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numFmtId="9" showAll="0"/>
    <pivotField numFmtId="4" showAll="0"/>
    <pivotField numFmtId="4" showAll="0"/>
    <pivotField showAll="0"/>
    <pivotField axis="axisPage" showAll="0">
      <items count="7">
        <item x="4"/>
        <item x="0"/>
        <item x="3"/>
        <item x="2"/>
        <item x="5"/>
        <item x="1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item="2" hier="-1"/>
  </pageFields>
  <dataFields count="3">
    <dataField name="Average of Loss Rate %" fld="12" subtotal="average" baseField="17" baseItem="0"/>
    <dataField name="Average of Yield per Acre (kg)" fld="11" subtotal="average" baseField="17" baseItem="0"/>
    <dataField name="Average of Selling Price/kg (GHS)" fld="9" subtotal="average" baseField="17" baseItem="0"/>
  </dataFields>
  <formats count="1">
    <format dxfId="8">
      <pivotArea collapsedLevelsAreSubtotals="1" fieldPosition="0">
        <references count="2">
          <reference field="4294967294" count="1" selected="0">
            <x v="0"/>
          </reference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11D36-8780-43E8-A82A-4D58B1C3A65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D33" firstHeaderRow="0" firstDataRow="1" firstDataCol="1" rowPageCount="1" colPageCount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numFmtId="9" showAll="0"/>
    <pivotField numFmtId="4" showAll="0"/>
    <pivotField numFmtId="4" showAll="0"/>
    <pivotField showAll="0"/>
    <pivotField axis="axisPage" showAll="0">
      <items count="7">
        <item x="4"/>
        <item x="0"/>
        <item x="3"/>
        <item x="2"/>
        <item x="5"/>
        <item x="1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item="5" hier="-1"/>
  </pageFields>
  <dataFields count="3">
    <dataField name="Average of Loss Rate %" fld="12" subtotal="average" baseField="17" baseItem="0"/>
    <dataField name="Average of Yield per Acre (kg)" fld="11" subtotal="average" baseField="17" baseItem="0"/>
    <dataField name="Average of Selling Price/kg (GHS)" fld="9" subtotal="average" baseField="17" baseItem="0"/>
  </dataFields>
  <formats count="2"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C358F-4179-4E57-9D2A-875508F20E7B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G23" firstHeaderRow="1" firstDataRow="2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4" showAll="0"/>
    <pivotField dataField="1" numFmtId="4" showAll="0"/>
    <pivotField showAll="0"/>
    <pivotField axis="axisRow" showAll="0">
      <items count="7">
        <item x="4"/>
        <item x="0"/>
        <item x="3"/>
        <item x="2"/>
        <item x="5"/>
        <item x="1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ross Margin (GHS)" fld="14" baseField="0" baseItem="0" numFmtId="4"/>
  </dataFields>
  <formats count="1">
    <format dxfId="9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7BE42-D5D1-459C-8B56-5B3F286BCC7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7">
        <item x="4"/>
        <item x="0"/>
        <item x="3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Gross Margin (GHS)" fld="14" baseField="0" baseItem="0"/>
  </dataFields>
  <formats count="2">
    <format dxfId="13">
      <pivotArea collapsedLevelsAreSubtotals="1" fieldPosition="0">
        <references count="1">
          <reference field="16" count="6">
            <x v="0"/>
            <x v="1"/>
            <x v="2"/>
            <x v="3"/>
            <x v="4"/>
            <x v="5"/>
          </reference>
        </references>
      </pivotArea>
    </format>
    <format dxfId="12">
      <pivotArea grandRow="1"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FB828-2E47-4B05-92EC-F82F3EC4E4DC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G37" firstHeaderRow="1" firstDataRow="2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4" showAll="0"/>
    <pivotField dataField="1" numFmtId="4" showAll="0"/>
    <pivotField showAll="0"/>
    <pivotField axis="axisRow" showAll="0">
      <items count="7">
        <item x="4"/>
        <item x="0"/>
        <item x="3"/>
        <item x="2"/>
        <item x="5"/>
        <item x="1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ross Margin (GHS)" fld="14" baseField="0" baseItem="0" numFmtId="4"/>
  </dataFields>
  <formats count="1">
    <format dxfId="6">
      <pivotArea outline="0" collapsedLevelsAreSubtotals="1" fieldPosition="0"/>
    </format>
  </formats>
  <conditionalFormats count="3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DD1CC-AECB-40B5-A60B-24094B2887A8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0" firstHeaderRow="0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4" showAll="0"/>
    <pivotField dataField="1" numFmtId="4" showAll="0"/>
    <pivotField showAll="0"/>
    <pivotField axis="axisRow" multipleItemSelectionAllowed="1" showAll="0" sortType="descending">
      <items count="7">
        <item x="4"/>
        <item x="0"/>
        <item x="3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Margin (GHS)" fld="14" baseField="0" baseItem="0"/>
    <dataField name="Sum of Revenue (GHS)" fld="13" baseField="0" baseItem="0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10069-655A-45BB-90D9-C93EE7798ABD}" name="Table1" displayName="Table1" ref="A1:R501" totalsRowShown="0" headerRowDxfId="21">
  <autoFilter ref="A1:R501" xr:uid="{18110069-655A-45BB-90D9-C93EE7798ABD}"/>
  <tableColumns count="18">
    <tableColumn id="1" xr3:uid="{90C36721-6442-41A7-8223-43B4693270ED}" name="Farmer ID"/>
    <tableColumn id="2" xr3:uid="{16CCE58B-4BAD-422E-BDEA-963F76F41E9C}" name="Record Date" dataDxfId="20"/>
    <tableColumn id="3" xr3:uid="{7711FC37-D00D-4554-B635-9245640AD55D}" name="District ID"/>
    <tableColumn id="4" xr3:uid="{D79A30D7-6A22-48E5-BF18-583108147798}" name="Crop ID"/>
    <tableColumn id="5" xr3:uid="{D2C5C650-D1DF-48E6-9A95-485C140C421A}" name="Acres Cultivated"/>
    <tableColumn id="6" xr3:uid="{4FE40052-855F-4A20-A00F-53F148837218}" name="Harvest Quantity (kg)"/>
    <tableColumn id="7" xr3:uid="{FDB3E9FB-1E3B-443E-A64B-D1BC3D3C53AC}" name="Post-Harvest Loss (kg)"/>
    <tableColumn id="8" xr3:uid="{27EEE06C-087A-4177-A073-4BAB8907101F}" name="Quantity Sold (kg)"/>
    <tableColumn id="9" xr3:uid="{064B9AE0-566D-43F2-BE7C-F26D973B2A16}" name="Market Channel"/>
    <tableColumn id="10" xr3:uid="{5F7BA19E-ED53-4045-BD06-583C653EFC27}" name="Selling Price/kg (GHS)"/>
    <tableColumn id="11" xr3:uid="{E50250A7-A980-4358-BD02-F12AE2037961}" name="Input Cost (GHS)"/>
    <tableColumn id="12" xr3:uid="{5B7E0700-6CCF-4245-9D02-F70804EDAC87}" name="Yield per Acre (kg)" dataDxfId="19">
      <calculatedColumnFormula>F2/E2</calculatedColumnFormula>
    </tableColumn>
    <tableColumn id="13" xr3:uid="{61006252-985D-4916-88BB-5AE4D15F9EDC}" name="Loss Rate %" dataCellStyle="Percent">
      <calculatedColumnFormula>G2/F2</calculatedColumnFormula>
    </tableColumn>
    <tableColumn id="14" xr3:uid="{BC63EED1-841A-4852-AB5B-3AD201335E64}" name="Revenue (GHS)" dataDxfId="16">
      <calculatedColumnFormula>H2*J2</calculatedColumnFormula>
    </tableColumn>
    <tableColumn id="15" xr3:uid="{D75DCA69-279F-4FCC-A27E-8EB577A32743}" name="Gross Margin (GHS)" dataDxfId="14">
      <calculatedColumnFormula>N2-K2</calculatedColumnFormula>
    </tableColumn>
    <tableColumn id="16" xr3:uid="{B882CE61-9563-4C19-8573-DF68E96E415E}" name="Flag" dataDxfId="15">
      <calculatedColumnFormula>IF(H2+G2&gt;F2,"CHECK: Sold+Loss &gt; Harvest","OK")</calculatedColumnFormula>
    </tableColumn>
    <tableColumn id="17" xr3:uid="{3A789A9B-8C46-4433-B582-CDA614624757}" name="Crop Name" dataDxfId="18">
      <calculatedColumnFormula>INDEX(Crops!$B$2:$B$7,MATCH(D2,Crops!$A$2:$A$7,0))</calculatedColumnFormula>
    </tableColumn>
    <tableColumn id="18" xr3:uid="{AA202A40-74F5-4275-828F-0796135B75B7}" name="District Name" dataDxfId="17">
      <calculatedColumnFormula>INDEX(Districts!$B$2:$B$6,MATCH(C2,Districts!$A$2:$A$6,0))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B12" sqref="B12"/>
    </sheetView>
  </sheetViews>
  <sheetFormatPr defaultRowHeight="14.25"/>
  <cols>
    <col min="1" max="1" width="20" customWidth="1"/>
    <col min="2" max="2" width="85" customWidth="1"/>
    <col min="3" max="6" width="8" customWidth="1"/>
  </cols>
  <sheetData>
    <row r="1" spans="1:6" ht="20.25">
      <c r="A1" s="5" t="s">
        <v>0</v>
      </c>
      <c r="B1" s="5"/>
      <c r="C1" s="5"/>
      <c r="D1" s="5"/>
      <c r="E1" s="5"/>
      <c r="F1" s="5"/>
    </row>
    <row r="2" spans="1:6">
      <c r="A2" s="6" t="s">
        <v>1</v>
      </c>
      <c r="B2" s="6"/>
      <c r="C2" s="6"/>
      <c r="D2" s="6"/>
      <c r="E2" s="6"/>
      <c r="F2" s="6"/>
    </row>
    <row r="4" spans="1:6" ht="15">
      <c r="A4" s="1" t="s">
        <v>2</v>
      </c>
      <c r="B4" s="1" t="s">
        <v>3</v>
      </c>
      <c r="C4" s="1"/>
      <c r="D4" s="1"/>
      <c r="E4" s="1"/>
      <c r="F4" s="1"/>
    </row>
    <row r="5" spans="1:6">
      <c r="A5" s="2" t="s">
        <v>4</v>
      </c>
      <c r="B5" s="2"/>
      <c r="C5" s="2"/>
      <c r="D5" s="2"/>
      <c r="E5" s="2"/>
      <c r="F5" s="2"/>
    </row>
    <row r="6" spans="1:6">
      <c r="A6" s="2"/>
      <c r="B6" s="2" t="s">
        <v>5</v>
      </c>
      <c r="C6" s="2"/>
      <c r="D6" s="2"/>
      <c r="E6" s="2"/>
      <c r="F6" s="2"/>
    </row>
    <row r="7" spans="1:6">
      <c r="A7" s="2"/>
      <c r="B7" s="2" t="s">
        <v>6</v>
      </c>
      <c r="C7" s="2"/>
      <c r="D7" s="2"/>
      <c r="E7" s="2"/>
      <c r="F7" s="2"/>
    </row>
    <row r="8" spans="1:6">
      <c r="A8" s="2"/>
      <c r="B8" s="2" t="s">
        <v>7</v>
      </c>
      <c r="C8" s="2"/>
      <c r="D8" s="2"/>
      <c r="E8" s="2"/>
      <c r="F8" s="2"/>
    </row>
    <row r="9" spans="1:6">
      <c r="A9" s="2" t="s">
        <v>8</v>
      </c>
      <c r="B9" s="2"/>
      <c r="C9" s="2"/>
      <c r="D9" s="2"/>
      <c r="E9" s="2"/>
      <c r="F9" s="2"/>
    </row>
    <row r="10" spans="1:6" ht="28.5">
      <c r="A10" s="2"/>
      <c r="B10" s="2" t="s">
        <v>9</v>
      </c>
      <c r="C10" s="2"/>
      <c r="D10" s="2"/>
      <c r="E10" s="2"/>
      <c r="F10" s="2"/>
    </row>
    <row r="11" spans="1:6">
      <c r="A11" s="2"/>
      <c r="B11" s="2" t="s">
        <v>10</v>
      </c>
      <c r="C11" s="2"/>
      <c r="D11" s="2"/>
      <c r="E11" s="2"/>
      <c r="F11" s="2"/>
    </row>
    <row r="12" spans="1:6" ht="42.75">
      <c r="A12" s="2"/>
      <c r="B12" s="2" t="s">
        <v>11</v>
      </c>
      <c r="C12" s="2"/>
      <c r="D12" s="2"/>
      <c r="E12" s="2"/>
      <c r="F12" s="2"/>
    </row>
    <row r="13" spans="1:6" ht="28.5">
      <c r="A13" s="2"/>
      <c r="B13" s="2" t="s">
        <v>12</v>
      </c>
      <c r="C13" s="2"/>
      <c r="D13" s="2"/>
      <c r="E13" s="2"/>
      <c r="F13" s="2"/>
    </row>
    <row r="14" spans="1:6" ht="28.5">
      <c r="A14" s="2"/>
      <c r="B14" s="2" t="s">
        <v>13</v>
      </c>
      <c r="C14" s="2"/>
      <c r="D14" s="2"/>
      <c r="E14" s="2"/>
      <c r="F14" s="2"/>
    </row>
    <row r="15" spans="1:6" ht="28.5">
      <c r="A15" s="2"/>
      <c r="B15" s="2" t="s">
        <v>14</v>
      </c>
      <c r="C15" s="2"/>
      <c r="D15" s="2"/>
      <c r="E15" s="2"/>
      <c r="F15" s="2"/>
    </row>
    <row r="16" spans="1:6">
      <c r="A16" s="2"/>
      <c r="B16" s="2" t="s">
        <v>15</v>
      </c>
      <c r="C16" s="2"/>
      <c r="D16" s="2"/>
      <c r="E16" s="2"/>
      <c r="F16" s="2"/>
    </row>
    <row r="17" spans="1:6">
      <c r="A17" s="2" t="s">
        <v>16</v>
      </c>
      <c r="B17" s="2"/>
      <c r="C17" s="2"/>
      <c r="D17" s="2"/>
      <c r="E17" s="2"/>
      <c r="F17" s="2"/>
    </row>
    <row r="18" spans="1:6">
      <c r="A18" s="2"/>
      <c r="B18" s="2" t="s">
        <v>17</v>
      </c>
      <c r="C18" s="2"/>
      <c r="D18" s="2"/>
      <c r="E18" s="2"/>
      <c r="F18" s="2"/>
    </row>
    <row r="19" spans="1:6">
      <c r="A19" s="2"/>
      <c r="B19" s="2" t="s">
        <v>18</v>
      </c>
      <c r="C19" s="2"/>
      <c r="D19" s="2"/>
      <c r="E19" s="2"/>
      <c r="F19" s="2"/>
    </row>
    <row r="20" spans="1:6">
      <c r="A20" s="2"/>
      <c r="B20" s="2" t="s">
        <v>19</v>
      </c>
      <c r="C20" s="2"/>
      <c r="D20" s="2"/>
      <c r="E20" s="2"/>
      <c r="F20" s="2"/>
    </row>
    <row r="21" spans="1:6">
      <c r="A21" s="2"/>
      <c r="B21" s="2" t="s">
        <v>20</v>
      </c>
      <c r="C21" s="2"/>
      <c r="D21" s="2"/>
      <c r="E21" s="2"/>
      <c r="F21" s="2"/>
    </row>
    <row r="22" spans="1:6">
      <c r="A22" s="2"/>
      <c r="B22" s="2" t="s">
        <v>21</v>
      </c>
      <c r="C22" s="2"/>
      <c r="D22" s="2"/>
      <c r="E22" s="2"/>
      <c r="F22" s="2"/>
    </row>
    <row r="23" spans="1:6">
      <c r="A23" s="2"/>
      <c r="B23" s="2" t="s">
        <v>22</v>
      </c>
      <c r="C23" s="2"/>
      <c r="D23" s="2"/>
      <c r="E23" s="2"/>
      <c r="F23" s="2"/>
    </row>
    <row r="24" spans="1:6">
      <c r="A24" s="2"/>
      <c r="B24" s="2" t="s">
        <v>23</v>
      </c>
      <c r="C24" s="2"/>
      <c r="D24" s="2"/>
      <c r="E24" s="2"/>
      <c r="F24" s="2"/>
    </row>
    <row r="25" spans="1:6">
      <c r="A25" s="2"/>
      <c r="B25" s="2" t="s">
        <v>24</v>
      </c>
      <c r="C25" s="2"/>
      <c r="D25" s="2"/>
      <c r="E25" s="2"/>
      <c r="F25" s="2"/>
    </row>
    <row r="26" spans="1:6">
      <c r="A26" s="2" t="s">
        <v>25</v>
      </c>
      <c r="B26" s="2"/>
      <c r="C26" s="2"/>
      <c r="D26" s="2"/>
      <c r="E26" s="2"/>
      <c r="F26" s="2"/>
    </row>
    <row r="27" spans="1:6">
      <c r="A27" s="2"/>
      <c r="B27" s="2" t="s">
        <v>26</v>
      </c>
      <c r="C27" s="2"/>
      <c r="D27" s="2"/>
      <c r="E27" s="2"/>
      <c r="F27" s="2"/>
    </row>
    <row r="28" spans="1:6">
      <c r="A28" s="2"/>
      <c r="B28" s="2" t="s">
        <v>27</v>
      </c>
      <c r="C28" s="2"/>
      <c r="D28" s="2"/>
      <c r="E28" s="2"/>
      <c r="F28" s="2"/>
    </row>
    <row r="29" spans="1:6">
      <c r="A29" s="2"/>
      <c r="B29" s="2" t="s">
        <v>28</v>
      </c>
      <c r="C29" s="2"/>
      <c r="D29" s="2"/>
      <c r="E29" s="2"/>
      <c r="F29" s="2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" sqref="B2:B7"/>
    </sheetView>
  </sheetViews>
  <sheetFormatPr defaultRowHeight="14.25"/>
  <cols>
    <col min="1" max="1" width="12" customWidth="1"/>
    <col min="2" max="2" width="18" customWidth="1"/>
  </cols>
  <sheetData>
    <row r="1" spans="1:2" ht="18">
      <c r="A1" s="3" t="s">
        <v>29</v>
      </c>
      <c r="B1" s="3" t="s">
        <v>30</v>
      </c>
    </row>
    <row r="2" spans="1:2">
      <c r="A2" t="s">
        <v>31</v>
      </c>
      <c r="B2" t="s">
        <v>32</v>
      </c>
    </row>
    <row r="3" spans="1:2">
      <c r="A3" t="s">
        <v>33</v>
      </c>
      <c r="B3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s">
        <v>38</v>
      </c>
    </row>
    <row r="6" spans="1:2">
      <c r="A6" t="s">
        <v>39</v>
      </c>
      <c r="B6" t="s">
        <v>40</v>
      </c>
    </row>
    <row r="7" spans="1:2">
      <c r="A7" t="s">
        <v>41</v>
      </c>
      <c r="B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3" sqref="B3"/>
    </sheetView>
  </sheetViews>
  <sheetFormatPr defaultRowHeight="14.25"/>
  <cols>
    <col min="1" max="1" width="14" customWidth="1"/>
    <col min="2" max="2" width="20" customWidth="1"/>
  </cols>
  <sheetData>
    <row r="1" spans="1:2" ht="18">
      <c r="A1" s="3" t="s">
        <v>43</v>
      </c>
      <c r="B1" s="3" t="s">
        <v>44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52</v>
      </c>
    </row>
    <row r="6" spans="1:2">
      <c r="A6" t="s">
        <v>53</v>
      </c>
      <c r="B6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6"/>
  <sheetViews>
    <sheetView topLeftCell="K1" workbookViewId="0">
      <selection activeCell="M2" sqref="M2"/>
    </sheetView>
  </sheetViews>
  <sheetFormatPr defaultRowHeight="14.25"/>
  <cols>
    <col min="1" max="3" width="14" customWidth="1"/>
    <col min="4" max="4" width="12" customWidth="1"/>
    <col min="5" max="5" width="18" customWidth="1"/>
    <col min="6" max="6" width="22" customWidth="1"/>
    <col min="7" max="7" width="24" customWidth="1"/>
    <col min="8" max="8" width="20" customWidth="1"/>
    <col min="9" max="9" width="18" customWidth="1"/>
    <col min="10" max="10" width="22" customWidth="1"/>
    <col min="11" max="11" width="18" customWidth="1"/>
  </cols>
  <sheetData>
    <row r="1" spans="1:11" ht="36">
      <c r="A1" s="3" t="s">
        <v>55</v>
      </c>
      <c r="B1" s="3" t="s">
        <v>56</v>
      </c>
      <c r="C1" s="3" t="s">
        <v>43</v>
      </c>
      <c r="D1" s="3" t="s">
        <v>29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</row>
    <row r="2" spans="1:11">
      <c r="A2" t="s">
        <v>64</v>
      </c>
      <c r="B2" s="4">
        <v>45853</v>
      </c>
      <c r="C2" t="s">
        <v>49</v>
      </c>
      <c r="D2" t="s">
        <v>31</v>
      </c>
      <c r="E2">
        <v>10.5</v>
      </c>
      <c r="F2">
        <v>21319.7</v>
      </c>
      <c r="G2">
        <v>2059.4</v>
      </c>
      <c r="H2">
        <v>19260.3</v>
      </c>
      <c r="I2" t="s">
        <v>65</v>
      </c>
      <c r="J2">
        <v>3.44</v>
      </c>
      <c r="K2">
        <v>15514.19</v>
      </c>
    </row>
    <row r="3" spans="1:11">
      <c r="A3" t="s">
        <v>66</v>
      </c>
      <c r="B3" s="4">
        <v>45856</v>
      </c>
      <c r="C3" t="s">
        <v>53</v>
      </c>
      <c r="D3" t="s">
        <v>35</v>
      </c>
      <c r="E3">
        <v>8.9</v>
      </c>
      <c r="F3">
        <v>85227.8</v>
      </c>
      <c r="G3">
        <v>6234.1</v>
      </c>
      <c r="H3">
        <v>78993.7</v>
      </c>
      <c r="I3" t="s">
        <v>67</v>
      </c>
      <c r="J3">
        <v>7.38</v>
      </c>
      <c r="K3">
        <v>9897.9</v>
      </c>
    </row>
    <row r="4" spans="1:11">
      <c r="A4" t="s">
        <v>68</v>
      </c>
      <c r="B4" s="4">
        <v>45869</v>
      </c>
      <c r="C4" t="s">
        <v>51</v>
      </c>
      <c r="D4" t="s">
        <v>33</v>
      </c>
      <c r="E4">
        <v>14.6</v>
      </c>
      <c r="F4">
        <v>23614.400000000001</v>
      </c>
      <c r="G4">
        <v>1146.9000000000001</v>
      </c>
      <c r="H4">
        <v>22467.5</v>
      </c>
      <c r="I4" t="s">
        <v>67</v>
      </c>
      <c r="J4">
        <v>5.0199999999999996</v>
      </c>
      <c r="K4">
        <v>13966.62</v>
      </c>
    </row>
    <row r="5" spans="1:11">
      <c r="A5" t="s">
        <v>69</v>
      </c>
      <c r="B5" s="4">
        <v>45874</v>
      </c>
      <c r="C5" t="s">
        <v>49</v>
      </c>
      <c r="D5" t="s">
        <v>37</v>
      </c>
      <c r="E5">
        <v>5.3</v>
      </c>
      <c r="F5">
        <v>23649.200000000001</v>
      </c>
      <c r="G5">
        <v>561.9</v>
      </c>
      <c r="H5">
        <v>23087.3</v>
      </c>
      <c r="I5" t="s">
        <v>70</v>
      </c>
      <c r="J5">
        <v>10.29</v>
      </c>
      <c r="K5">
        <v>6689.27</v>
      </c>
    </row>
    <row r="6" spans="1:11">
      <c r="A6" t="s">
        <v>71</v>
      </c>
      <c r="B6" s="4">
        <v>45967</v>
      </c>
      <c r="C6" t="s">
        <v>53</v>
      </c>
      <c r="D6" t="s">
        <v>35</v>
      </c>
      <c r="E6">
        <v>6.5</v>
      </c>
      <c r="F6">
        <v>35848.5</v>
      </c>
      <c r="G6">
        <v>2534</v>
      </c>
      <c r="H6">
        <v>33314.5</v>
      </c>
      <c r="I6" t="s">
        <v>67</v>
      </c>
      <c r="J6">
        <v>6.85</v>
      </c>
      <c r="K6">
        <v>9552.4</v>
      </c>
    </row>
    <row r="7" spans="1:11">
      <c r="A7" t="s">
        <v>72</v>
      </c>
      <c r="B7" s="4">
        <v>45902</v>
      </c>
      <c r="C7" t="s">
        <v>45</v>
      </c>
      <c r="D7" t="s">
        <v>41</v>
      </c>
      <c r="E7">
        <v>10.7</v>
      </c>
      <c r="F7">
        <v>65606.600000000006</v>
      </c>
      <c r="G7">
        <v>5542.3</v>
      </c>
      <c r="H7">
        <v>60064.3</v>
      </c>
      <c r="I7" t="s">
        <v>67</v>
      </c>
      <c r="J7">
        <v>2.16</v>
      </c>
      <c r="K7">
        <v>14864.02</v>
      </c>
    </row>
    <row r="8" spans="1:11">
      <c r="A8" t="s">
        <v>73</v>
      </c>
      <c r="B8" s="4">
        <v>46046</v>
      </c>
      <c r="C8" t="s">
        <v>49</v>
      </c>
      <c r="D8" t="s">
        <v>35</v>
      </c>
      <c r="E8">
        <v>2.6</v>
      </c>
      <c r="F8">
        <v>19136.5</v>
      </c>
      <c r="G8">
        <v>2597.1999999999998</v>
      </c>
      <c r="H8">
        <v>16539.3</v>
      </c>
      <c r="I8" t="s">
        <v>70</v>
      </c>
      <c r="J8">
        <v>7.45</v>
      </c>
      <c r="K8">
        <v>2771.29</v>
      </c>
    </row>
    <row r="9" spans="1:11">
      <c r="A9" t="s">
        <v>74</v>
      </c>
      <c r="B9" s="4">
        <v>45911</v>
      </c>
      <c r="C9" t="s">
        <v>53</v>
      </c>
      <c r="D9" t="s">
        <v>33</v>
      </c>
      <c r="E9">
        <v>14.3</v>
      </c>
      <c r="F9">
        <v>38915.4</v>
      </c>
      <c r="G9">
        <v>3453.4</v>
      </c>
      <c r="H9">
        <v>35462</v>
      </c>
      <c r="I9" t="s">
        <v>65</v>
      </c>
      <c r="J9">
        <v>5.31</v>
      </c>
      <c r="K9">
        <v>11122.26</v>
      </c>
    </row>
    <row r="10" spans="1:11">
      <c r="A10" t="s">
        <v>75</v>
      </c>
      <c r="B10" s="4">
        <v>46048</v>
      </c>
      <c r="C10" t="s">
        <v>47</v>
      </c>
      <c r="D10" t="s">
        <v>37</v>
      </c>
      <c r="E10">
        <v>1.9</v>
      </c>
      <c r="F10">
        <v>8780.2999999999993</v>
      </c>
      <c r="G10">
        <v>511.5</v>
      </c>
      <c r="H10">
        <v>8268.7999999999993</v>
      </c>
      <c r="I10" t="s">
        <v>70</v>
      </c>
      <c r="J10">
        <v>8.15</v>
      </c>
      <c r="K10">
        <v>2517.2399999999998</v>
      </c>
    </row>
    <row r="11" spans="1:11">
      <c r="A11" t="s">
        <v>76</v>
      </c>
      <c r="B11" s="4">
        <v>45920</v>
      </c>
      <c r="C11" t="s">
        <v>47</v>
      </c>
      <c r="D11" t="s">
        <v>37</v>
      </c>
      <c r="E11">
        <v>5.6</v>
      </c>
      <c r="F11">
        <v>30015.3</v>
      </c>
      <c r="G11">
        <v>2728.7</v>
      </c>
      <c r="H11">
        <v>27286.6</v>
      </c>
      <c r="I11" t="s">
        <v>77</v>
      </c>
      <c r="J11">
        <v>9.68</v>
      </c>
      <c r="K11">
        <v>4086.39</v>
      </c>
    </row>
    <row r="12" spans="1:11">
      <c r="A12" t="s">
        <v>78</v>
      </c>
      <c r="B12" s="4">
        <v>46146</v>
      </c>
      <c r="C12" t="s">
        <v>45</v>
      </c>
      <c r="D12" t="s">
        <v>39</v>
      </c>
      <c r="E12">
        <v>3.3</v>
      </c>
      <c r="F12">
        <v>3500.2</v>
      </c>
      <c r="G12">
        <v>252.2</v>
      </c>
      <c r="H12">
        <v>3248</v>
      </c>
      <c r="I12" t="s">
        <v>77</v>
      </c>
      <c r="J12">
        <v>4.55</v>
      </c>
      <c r="K12">
        <v>5777.89</v>
      </c>
    </row>
    <row r="13" spans="1:11">
      <c r="A13" t="s">
        <v>79</v>
      </c>
      <c r="B13" s="4">
        <v>45948</v>
      </c>
      <c r="C13" t="s">
        <v>53</v>
      </c>
      <c r="D13" t="s">
        <v>33</v>
      </c>
      <c r="E13">
        <v>7.2</v>
      </c>
      <c r="F13">
        <v>19481.8</v>
      </c>
      <c r="G13">
        <v>2064.3000000000002</v>
      </c>
      <c r="H13">
        <v>17417.5</v>
      </c>
      <c r="I13" t="s">
        <v>70</v>
      </c>
      <c r="J13">
        <v>6.95</v>
      </c>
      <c r="K13">
        <v>10411.07</v>
      </c>
    </row>
    <row r="14" spans="1:11">
      <c r="A14" t="s">
        <v>80</v>
      </c>
      <c r="B14" s="4">
        <v>45867</v>
      </c>
      <c r="C14" t="s">
        <v>49</v>
      </c>
      <c r="D14" t="s">
        <v>35</v>
      </c>
      <c r="E14">
        <v>10.7</v>
      </c>
      <c r="F14">
        <v>107180.5</v>
      </c>
      <c r="G14">
        <v>8191.9</v>
      </c>
      <c r="H14">
        <v>98988.6</v>
      </c>
      <c r="I14" t="s">
        <v>70</v>
      </c>
      <c r="J14">
        <v>7.72</v>
      </c>
      <c r="K14">
        <v>17232.07</v>
      </c>
    </row>
    <row r="15" spans="1:11">
      <c r="A15" t="s">
        <v>81</v>
      </c>
      <c r="B15" s="4">
        <v>46083</v>
      </c>
      <c r="C15" t="s">
        <v>47</v>
      </c>
      <c r="D15" t="s">
        <v>39</v>
      </c>
      <c r="E15">
        <v>12</v>
      </c>
      <c r="F15">
        <v>21845.4</v>
      </c>
      <c r="G15">
        <v>1774.4</v>
      </c>
      <c r="H15">
        <v>20071</v>
      </c>
      <c r="I15" t="s">
        <v>77</v>
      </c>
      <c r="J15">
        <v>4.21</v>
      </c>
      <c r="K15">
        <v>18488.91</v>
      </c>
    </row>
    <row r="16" spans="1:11">
      <c r="A16" t="s">
        <v>82</v>
      </c>
      <c r="B16" s="4">
        <v>46114</v>
      </c>
      <c r="C16" t="s">
        <v>53</v>
      </c>
      <c r="D16" t="s">
        <v>33</v>
      </c>
      <c r="E16">
        <v>2.1</v>
      </c>
      <c r="F16">
        <v>3757.2</v>
      </c>
      <c r="G16">
        <v>552.70000000000005</v>
      </c>
      <c r="H16">
        <v>3204.5</v>
      </c>
      <c r="I16" t="s">
        <v>77</v>
      </c>
      <c r="J16">
        <v>5.31</v>
      </c>
      <c r="K16">
        <v>3041.08</v>
      </c>
    </row>
    <row r="17" spans="1:11">
      <c r="A17" t="s">
        <v>83</v>
      </c>
      <c r="B17" s="4">
        <v>45961</v>
      </c>
      <c r="C17" t="s">
        <v>47</v>
      </c>
      <c r="D17" t="s">
        <v>33</v>
      </c>
      <c r="E17">
        <v>2.2000000000000002</v>
      </c>
      <c r="F17">
        <v>5789.3</v>
      </c>
      <c r="G17">
        <v>563.29999999999995</v>
      </c>
      <c r="H17">
        <v>5226</v>
      </c>
      <c r="I17" t="s">
        <v>67</v>
      </c>
      <c r="J17">
        <v>5.96</v>
      </c>
      <c r="K17">
        <v>2220.58</v>
      </c>
    </row>
    <row r="18" spans="1:11">
      <c r="A18" t="s">
        <v>84</v>
      </c>
      <c r="B18" s="4">
        <v>46057</v>
      </c>
      <c r="C18" t="s">
        <v>51</v>
      </c>
      <c r="D18" t="s">
        <v>35</v>
      </c>
      <c r="E18">
        <v>13.6</v>
      </c>
      <c r="F18">
        <v>115504.3</v>
      </c>
      <c r="G18">
        <v>16132.6</v>
      </c>
      <c r="H18">
        <v>99371.7</v>
      </c>
      <c r="I18" t="s">
        <v>70</v>
      </c>
      <c r="J18">
        <v>7.63</v>
      </c>
      <c r="K18">
        <v>20302.55</v>
      </c>
    </row>
    <row r="19" spans="1:11">
      <c r="A19" t="s">
        <v>85</v>
      </c>
      <c r="B19" s="4">
        <v>45862</v>
      </c>
      <c r="C19" t="s">
        <v>45</v>
      </c>
      <c r="D19" t="s">
        <v>35</v>
      </c>
      <c r="E19">
        <v>12.9</v>
      </c>
      <c r="F19">
        <v>92115.3</v>
      </c>
      <c r="G19">
        <v>2849.8</v>
      </c>
      <c r="H19">
        <v>89265.5</v>
      </c>
      <c r="I19" t="s">
        <v>67</v>
      </c>
      <c r="J19">
        <v>5.91</v>
      </c>
      <c r="K19">
        <v>15299.64</v>
      </c>
    </row>
    <row r="20" spans="1:11">
      <c r="A20" t="s">
        <v>86</v>
      </c>
      <c r="B20" s="4">
        <v>46060</v>
      </c>
      <c r="C20" t="s">
        <v>49</v>
      </c>
      <c r="D20" t="s">
        <v>39</v>
      </c>
      <c r="E20">
        <v>7.8</v>
      </c>
      <c r="F20">
        <v>12493.9</v>
      </c>
      <c r="G20">
        <v>441.2</v>
      </c>
      <c r="H20">
        <v>12052.7</v>
      </c>
      <c r="I20" t="s">
        <v>67</v>
      </c>
      <c r="J20">
        <v>4.87</v>
      </c>
      <c r="K20">
        <v>12082.17</v>
      </c>
    </row>
    <row r="21" spans="1:11">
      <c r="A21" t="s">
        <v>87</v>
      </c>
      <c r="B21" s="4">
        <v>45848</v>
      </c>
      <c r="C21" t="s">
        <v>45</v>
      </c>
      <c r="D21" t="s">
        <v>39</v>
      </c>
      <c r="E21">
        <v>6.7</v>
      </c>
      <c r="F21">
        <v>13190.3</v>
      </c>
      <c r="G21">
        <v>439.3</v>
      </c>
      <c r="H21">
        <v>12751</v>
      </c>
      <c r="I21" t="s">
        <v>65</v>
      </c>
      <c r="J21">
        <v>5.22</v>
      </c>
      <c r="K21">
        <v>5008.09</v>
      </c>
    </row>
    <row r="22" spans="1:11">
      <c r="A22" t="s">
        <v>88</v>
      </c>
      <c r="B22" s="4">
        <v>46124</v>
      </c>
      <c r="C22" t="s">
        <v>53</v>
      </c>
      <c r="D22" t="s">
        <v>37</v>
      </c>
      <c r="E22">
        <v>3.8</v>
      </c>
      <c r="F22">
        <v>19524.8</v>
      </c>
      <c r="G22">
        <v>2536.8000000000002</v>
      </c>
      <c r="H22">
        <v>16988</v>
      </c>
      <c r="I22" t="s">
        <v>70</v>
      </c>
      <c r="J22">
        <v>8.31</v>
      </c>
      <c r="K22">
        <v>6059.77</v>
      </c>
    </row>
    <row r="23" spans="1:11">
      <c r="A23" t="s">
        <v>89</v>
      </c>
      <c r="B23" s="4">
        <v>46179</v>
      </c>
      <c r="C23" t="s">
        <v>51</v>
      </c>
      <c r="D23" t="s">
        <v>41</v>
      </c>
      <c r="E23">
        <v>7</v>
      </c>
      <c r="F23">
        <v>53598.9</v>
      </c>
      <c r="G23">
        <v>4311.7</v>
      </c>
      <c r="H23">
        <v>49287.199999999997</v>
      </c>
      <c r="I23" t="s">
        <v>70</v>
      </c>
      <c r="J23">
        <v>2.69</v>
      </c>
      <c r="K23">
        <v>6886.83</v>
      </c>
    </row>
    <row r="24" spans="1:11">
      <c r="A24" t="s">
        <v>90</v>
      </c>
      <c r="B24" s="4">
        <v>46018</v>
      </c>
      <c r="C24" t="s">
        <v>53</v>
      </c>
      <c r="D24" t="s">
        <v>41</v>
      </c>
      <c r="E24">
        <v>7.3</v>
      </c>
      <c r="F24">
        <v>56037.4</v>
      </c>
      <c r="G24">
        <v>7311.7</v>
      </c>
      <c r="H24">
        <v>48725.7</v>
      </c>
      <c r="I24" t="s">
        <v>67</v>
      </c>
      <c r="J24">
        <v>2.27</v>
      </c>
      <c r="K24">
        <v>8292.6200000000008</v>
      </c>
    </row>
    <row r="25" spans="1:11">
      <c r="A25" t="s">
        <v>91</v>
      </c>
      <c r="B25" s="4">
        <v>45894</v>
      </c>
      <c r="C25" t="s">
        <v>49</v>
      </c>
      <c r="D25" t="s">
        <v>33</v>
      </c>
      <c r="E25">
        <v>8.5</v>
      </c>
      <c r="F25">
        <v>20220.900000000001</v>
      </c>
      <c r="G25">
        <v>1942.1</v>
      </c>
      <c r="H25">
        <v>18278.8</v>
      </c>
      <c r="I25" t="s">
        <v>67</v>
      </c>
      <c r="J25">
        <v>6.82</v>
      </c>
      <c r="K25">
        <v>13626.91</v>
      </c>
    </row>
    <row r="26" spans="1:11">
      <c r="A26" t="s">
        <v>92</v>
      </c>
      <c r="B26" s="4">
        <v>46049</v>
      </c>
      <c r="C26" t="s">
        <v>49</v>
      </c>
      <c r="D26" t="s">
        <v>31</v>
      </c>
      <c r="E26">
        <v>8.9</v>
      </c>
      <c r="F26">
        <v>14528.1</v>
      </c>
      <c r="G26">
        <v>1525.2</v>
      </c>
      <c r="H26">
        <v>13002.9</v>
      </c>
      <c r="I26" t="s">
        <v>77</v>
      </c>
      <c r="J26">
        <v>3.79</v>
      </c>
      <c r="K26">
        <v>12986.23</v>
      </c>
    </row>
    <row r="27" spans="1:11">
      <c r="A27" t="s">
        <v>93</v>
      </c>
      <c r="B27" s="4">
        <v>46131</v>
      </c>
      <c r="C27" t="s">
        <v>51</v>
      </c>
      <c r="D27" t="s">
        <v>31</v>
      </c>
      <c r="E27">
        <v>15</v>
      </c>
      <c r="F27">
        <v>29249.8</v>
      </c>
      <c r="G27">
        <v>1250.8</v>
      </c>
      <c r="H27">
        <v>27999</v>
      </c>
      <c r="I27" t="s">
        <v>65</v>
      </c>
      <c r="J27">
        <v>2.99</v>
      </c>
      <c r="K27">
        <v>12276.47</v>
      </c>
    </row>
    <row r="28" spans="1:11">
      <c r="A28" t="s">
        <v>94</v>
      </c>
      <c r="B28" s="4">
        <v>46013</v>
      </c>
      <c r="C28" t="s">
        <v>47</v>
      </c>
      <c r="D28" t="s">
        <v>33</v>
      </c>
      <c r="E28">
        <v>6</v>
      </c>
      <c r="F28">
        <v>11042.2</v>
      </c>
      <c r="G28">
        <v>863.5</v>
      </c>
      <c r="H28">
        <v>10178.700000000001</v>
      </c>
      <c r="I28" t="s">
        <v>77</v>
      </c>
      <c r="J28">
        <v>4.97</v>
      </c>
      <c r="K28">
        <v>5788.26</v>
      </c>
    </row>
    <row r="29" spans="1:11">
      <c r="A29" t="s">
        <v>95</v>
      </c>
      <c r="B29" s="4">
        <v>46044</v>
      </c>
      <c r="C29" t="s">
        <v>49</v>
      </c>
      <c r="D29" t="s">
        <v>33</v>
      </c>
      <c r="E29">
        <v>12.9</v>
      </c>
      <c r="F29">
        <v>26760</v>
      </c>
      <c r="G29">
        <v>3173.3</v>
      </c>
      <c r="H29">
        <v>23586.7</v>
      </c>
      <c r="I29" t="s">
        <v>70</v>
      </c>
      <c r="J29">
        <v>6.48</v>
      </c>
      <c r="K29">
        <v>15846.65</v>
      </c>
    </row>
    <row r="30" spans="1:11">
      <c r="A30" t="s">
        <v>96</v>
      </c>
      <c r="B30" s="4">
        <v>46153</v>
      </c>
      <c r="C30" t="s">
        <v>53</v>
      </c>
      <c r="D30" t="s">
        <v>39</v>
      </c>
      <c r="E30">
        <v>13.4</v>
      </c>
      <c r="F30">
        <v>14163.1</v>
      </c>
      <c r="G30">
        <v>2072.1</v>
      </c>
      <c r="H30">
        <v>12091</v>
      </c>
      <c r="I30" t="s">
        <v>65</v>
      </c>
      <c r="J30">
        <v>5.36</v>
      </c>
      <c r="K30">
        <v>12492.51</v>
      </c>
    </row>
    <row r="31" spans="1:11">
      <c r="A31" t="s">
        <v>97</v>
      </c>
      <c r="B31" s="4">
        <v>45912</v>
      </c>
      <c r="C31" t="s">
        <v>49</v>
      </c>
      <c r="D31" t="s">
        <v>37</v>
      </c>
      <c r="E31">
        <v>1.9</v>
      </c>
      <c r="F31">
        <v>12182.2</v>
      </c>
      <c r="G31">
        <v>910</v>
      </c>
      <c r="H31">
        <v>11272.2</v>
      </c>
      <c r="I31" t="s">
        <v>65</v>
      </c>
      <c r="J31">
        <v>9.7799999999999994</v>
      </c>
      <c r="K31">
        <v>1926.57</v>
      </c>
    </row>
    <row r="32" spans="1:11">
      <c r="A32" t="s">
        <v>98</v>
      </c>
      <c r="B32" s="4">
        <v>46201</v>
      </c>
      <c r="C32" t="s">
        <v>45</v>
      </c>
      <c r="D32" t="s">
        <v>41</v>
      </c>
      <c r="E32">
        <v>4.7</v>
      </c>
      <c r="F32">
        <v>32979.9</v>
      </c>
      <c r="G32">
        <v>1452.6</v>
      </c>
      <c r="H32">
        <v>31527.3</v>
      </c>
      <c r="I32" t="s">
        <v>67</v>
      </c>
      <c r="J32">
        <v>2.73</v>
      </c>
      <c r="K32">
        <v>3441.09</v>
      </c>
    </row>
    <row r="33" spans="1:11">
      <c r="A33" t="s">
        <v>91</v>
      </c>
      <c r="B33" s="4">
        <v>45857</v>
      </c>
      <c r="C33" t="s">
        <v>45</v>
      </c>
      <c r="D33" t="s">
        <v>41</v>
      </c>
      <c r="E33">
        <v>7.8</v>
      </c>
      <c r="F33">
        <v>35529.199999999997</v>
      </c>
      <c r="G33">
        <v>2377.6</v>
      </c>
      <c r="H33">
        <v>33151.599999999999</v>
      </c>
      <c r="I33" t="s">
        <v>67</v>
      </c>
      <c r="J33">
        <v>2.54</v>
      </c>
      <c r="K33">
        <v>11431.77</v>
      </c>
    </row>
    <row r="34" spans="1:11">
      <c r="A34" t="s">
        <v>99</v>
      </c>
      <c r="B34" s="4">
        <v>46011</v>
      </c>
      <c r="C34" t="s">
        <v>53</v>
      </c>
      <c r="D34" t="s">
        <v>39</v>
      </c>
      <c r="E34">
        <v>10.3</v>
      </c>
      <c r="F34">
        <v>13728.5</v>
      </c>
      <c r="G34">
        <v>434.1</v>
      </c>
      <c r="H34">
        <v>13294.4</v>
      </c>
      <c r="I34" t="s">
        <v>70</v>
      </c>
      <c r="J34">
        <v>5.23</v>
      </c>
      <c r="K34">
        <v>12199.7</v>
      </c>
    </row>
    <row r="35" spans="1:11">
      <c r="A35" t="s">
        <v>100</v>
      </c>
      <c r="B35" s="4">
        <v>46026</v>
      </c>
      <c r="C35" t="s">
        <v>49</v>
      </c>
      <c r="D35" t="s">
        <v>41</v>
      </c>
      <c r="E35">
        <v>8.1</v>
      </c>
      <c r="F35">
        <v>32729.599999999999</v>
      </c>
      <c r="G35">
        <v>1801.9</v>
      </c>
      <c r="H35">
        <v>30927.7</v>
      </c>
      <c r="I35" t="s">
        <v>70</v>
      </c>
      <c r="J35">
        <v>2.19</v>
      </c>
      <c r="K35">
        <v>6146.74</v>
      </c>
    </row>
    <row r="36" spans="1:11">
      <c r="A36" t="s">
        <v>101</v>
      </c>
      <c r="B36" s="4">
        <v>45845</v>
      </c>
      <c r="C36" t="s">
        <v>51</v>
      </c>
      <c r="D36" t="s">
        <v>33</v>
      </c>
      <c r="E36">
        <v>5</v>
      </c>
      <c r="F36">
        <v>9246.7000000000007</v>
      </c>
      <c r="G36">
        <v>711</v>
      </c>
      <c r="H36">
        <v>8535.7000000000007</v>
      </c>
      <c r="I36" t="s">
        <v>70</v>
      </c>
      <c r="J36">
        <v>5.25</v>
      </c>
      <c r="K36">
        <v>8339.42</v>
      </c>
    </row>
    <row r="37" spans="1:11">
      <c r="A37" t="s">
        <v>102</v>
      </c>
      <c r="B37" s="4">
        <v>45885</v>
      </c>
      <c r="C37" t="s">
        <v>51</v>
      </c>
      <c r="D37" t="s">
        <v>39</v>
      </c>
      <c r="E37">
        <v>10.3</v>
      </c>
      <c r="F37">
        <v>19790.099999999999</v>
      </c>
      <c r="G37">
        <v>1470.3</v>
      </c>
      <c r="H37">
        <v>18319.8</v>
      </c>
      <c r="I37" t="s">
        <v>67</v>
      </c>
      <c r="J37">
        <v>4.3600000000000003</v>
      </c>
      <c r="K37">
        <v>15824.81</v>
      </c>
    </row>
    <row r="38" spans="1:11">
      <c r="A38" t="s">
        <v>103</v>
      </c>
      <c r="B38" s="4">
        <v>45945</v>
      </c>
      <c r="C38" t="s">
        <v>45</v>
      </c>
      <c r="D38" t="s">
        <v>39</v>
      </c>
      <c r="E38">
        <v>11.9</v>
      </c>
      <c r="F38">
        <v>12507.4</v>
      </c>
      <c r="G38">
        <v>556.79999999999995</v>
      </c>
      <c r="H38">
        <v>11950.6</v>
      </c>
      <c r="I38" t="s">
        <v>77</v>
      </c>
      <c r="J38">
        <v>5.12</v>
      </c>
      <c r="K38">
        <v>8108.69</v>
      </c>
    </row>
    <row r="39" spans="1:11">
      <c r="A39" t="s">
        <v>104</v>
      </c>
      <c r="B39" s="4">
        <v>45878</v>
      </c>
      <c r="C39" t="s">
        <v>51</v>
      </c>
      <c r="D39" t="s">
        <v>31</v>
      </c>
      <c r="E39">
        <v>12</v>
      </c>
      <c r="F39">
        <v>15728.1</v>
      </c>
      <c r="G39">
        <v>1013.9</v>
      </c>
      <c r="H39">
        <v>14714.2</v>
      </c>
      <c r="I39" t="s">
        <v>67</v>
      </c>
      <c r="J39">
        <v>2.73</v>
      </c>
      <c r="K39">
        <v>15109.5</v>
      </c>
    </row>
    <row r="40" spans="1:11">
      <c r="A40" t="s">
        <v>105</v>
      </c>
      <c r="B40" s="4">
        <v>45950</v>
      </c>
      <c r="C40" t="s">
        <v>47</v>
      </c>
      <c r="D40" t="s">
        <v>31</v>
      </c>
      <c r="E40">
        <v>13.4</v>
      </c>
      <c r="F40">
        <v>23211.599999999999</v>
      </c>
      <c r="G40">
        <v>2893.1</v>
      </c>
      <c r="H40">
        <v>20318.5</v>
      </c>
      <c r="I40" t="s">
        <v>67</v>
      </c>
      <c r="J40">
        <v>2.95</v>
      </c>
      <c r="K40">
        <v>20095.439999999999</v>
      </c>
    </row>
    <row r="41" spans="1:11">
      <c r="A41" t="s">
        <v>106</v>
      </c>
      <c r="B41" s="4">
        <v>45991</v>
      </c>
      <c r="C41" t="s">
        <v>49</v>
      </c>
      <c r="D41" t="s">
        <v>33</v>
      </c>
      <c r="E41">
        <v>9.9</v>
      </c>
      <c r="F41">
        <v>17039.400000000001</v>
      </c>
      <c r="G41">
        <v>1144.2</v>
      </c>
      <c r="H41">
        <v>15895.2</v>
      </c>
      <c r="I41" t="s">
        <v>65</v>
      </c>
      <c r="J41">
        <v>6.54</v>
      </c>
      <c r="K41">
        <v>16321.46</v>
      </c>
    </row>
    <row r="42" spans="1:11">
      <c r="A42" t="s">
        <v>107</v>
      </c>
      <c r="B42" s="4">
        <v>46048</v>
      </c>
      <c r="C42" t="s">
        <v>45</v>
      </c>
      <c r="D42" t="s">
        <v>41</v>
      </c>
      <c r="E42">
        <v>14.8</v>
      </c>
      <c r="F42">
        <v>96602.5</v>
      </c>
      <c r="G42">
        <v>14579.7</v>
      </c>
      <c r="H42">
        <v>82022.8</v>
      </c>
      <c r="I42" t="s">
        <v>77</v>
      </c>
      <c r="J42">
        <v>2.54</v>
      </c>
      <c r="K42">
        <v>13777.98</v>
      </c>
    </row>
    <row r="43" spans="1:11">
      <c r="A43" t="s">
        <v>79</v>
      </c>
      <c r="B43" s="4">
        <v>46151</v>
      </c>
      <c r="C43" t="s">
        <v>47</v>
      </c>
      <c r="D43" t="s">
        <v>35</v>
      </c>
      <c r="E43">
        <v>10.199999999999999</v>
      </c>
      <c r="F43">
        <v>71903.399999999994</v>
      </c>
      <c r="G43">
        <v>6902.9</v>
      </c>
      <c r="H43">
        <v>65000.5</v>
      </c>
      <c r="I43" t="s">
        <v>70</v>
      </c>
      <c r="J43">
        <v>7</v>
      </c>
      <c r="K43">
        <v>12168.69</v>
      </c>
    </row>
    <row r="44" spans="1:11">
      <c r="A44" t="s">
        <v>108</v>
      </c>
      <c r="B44" s="4">
        <v>46051</v>
      </c>
      <c r="C44" t="s">
        <v>51</v>
      </c>
      <c r="D44" t="s">
        <v>39</v>
      </c>
      <c r="E44">
        <v>14.7</v>
      </c>
      <c r="F44">
        <v>28520.1</v>
      </c>
      <c r="G44">
        <v>3960</v>
      </c>
      <c r="H44">
        <v>24560.1</v>
      </c>
      <c r="I44" t="s">
        <v>65</v>
      </c>
      <c r="J44">
        <v>4.5</v>
      </c>
      <c r="K44">
        <v>23654.05</v>
      </c>
    </row>
    <row r="45" spans="1:11">
      <c r="A45" t="s">
        <v>75</v>
      </c>
      <c r="B45" s="4">
        <v>46094</v>
      </c>
      <c r="C45" t="s">
        <v>47</v>
      </c>
      <c r="D45" t="s">
        <v>35</v>
      </c>
      <c r="E45">
        <v>12.6</v>
      </c>
      <c r="F45">
        <v>88116.1</v>
      </c>
      <c r="G45">
        <v>10493.9</v>
      </c>
      <c r="H45">
        <v>77622.2</v>
      </c>
      <c r="I45" t="s">
        <v>70</v>
      </c>
      <c r="J45">
        <v>6.19</v>
      </c>
      <c r="K45">
        <v>22479.17</v>
      </c>
    </row>
    <row r="46" spans="1:11">
      <c r="A46" t="s">
        <v>109</v>
      </c>
      <c r="B46" s="4">
        <v>46036</v>
      </c>
      <c r="C46" t="s">
        <v>51</v>
      </c>
      <c r="D46" t="s">
        <v>31</v>
      </c>
      <c r="E46">
        <v>7.8</v>
      </c>
      <c r="F46">
        <v>9282.1</v>
      </c>
      <c r="G46">
        <v>519.29999999999995</v>
      </c>
      <c r="H46">
        <v>8762.7999999999993</v>
      </c>
      <c r="I46" t="s">
        <v>70</v>
      </c>
      <c r="J46">
        <v>3.58</v>
      </c>
      <c r="K46">
        <v>12499.58</v>
      </c>
    </row>
    <row r="47" spans="1:11">
      <c r="A47" t="s">
        <v>96</v>
      </c>
      <c r="B47" s="4">
        <v>46145</v>
      </c>
      <c r="C47" t="s">
        <v>53</v>
      </c>
      <c r="D47" t="s">
        <v>39</v>
      </c>
      <c r="E47">
        <v>9.4</v>
      </c>
      <c r="F47">
        <v>12288.5</v>
      </c>
      <c r="G47">
        <v>1562.8</v>
      </c>
      <c r="H47">
        <v>10725.7</v>
      </c>
      <c r="I47" t="s">
        <v>65</v>
      </c>
      <c r="J47">
        <v>5.34</v>
      </c>
      <c r="K47">
        <v>15614.01</v>
      </c>
    </row>
    <row r="48" spans="1:11">
      <c r="A48" t="s">
        <v>110</v>
      </c>
      <c r="B48" s="4">
        <v>46116</v>
      </c>
      <c r="C48" t="s">
        <v>53</v>
      </c>
      <c r="D48" t="s">
        <v>31</v>
      </c>
      <c r="E48">
        <v>14.7</v>
      </c>
      <c r="F48">
        <v>35237.1</v>
      </c>
      <c r="G48">
        <v>3896.2</v>
      </c>
      <c r="H48">
        <v>31340.9</v>
      </c>
      <c r="I48" t="s">
        <v>65</v>
      </c>
      <c r="J48">
        <v>2.92</v>
      </c>
      <c r="K48">
        <v>17264.919999999998</v>
      </c>
    </row>
    <row r="49" spans="1:11">
      <c r="A49" t="s">
        <v>111</v>
      </c>
      <c r="B49" s="4">
        <v>45964</v>
      </c>
      <c r="C49" t="s">
        <v>45</v>
      </c>
      <c r="D49" t="s">
        <v>39</v>
      </c>
      <c r="E49">
        <v>2.7</v>
      </c>
      <c r="F49">
        <v>4689.6000000000004</v>
      </c>
      <c r="G49">
        <v>446.2</v>
      </c>
      <c r="H49">
        <v>4243.3999999999996</v>
      </c>
      <c r="I49" t="s">
        <v>77</v>
      </c>
      <c r="J49">
        <v>4.03</v>
      </c>
      <c r="K49">
        <v>3826.38</v>
      </c>
    </row>
    <row r="50" spans="1:11">
      <c r="A50" t="s">
        <v>112</v>
      </c>
      <c r="B50" s="4">
        <v>46181</v>
      </c>
      <c r="C50" t="s">
        <v>47</v>
      </c>
      <c r="D50" t="s">
        <v>33</v>
      </c>
      <c r="E50">
        <v>1.4</v>
      </c>
      <c r="F50">
        <v>3458.5</v>
      </c>
      <c r="G50">
        <v>529.29999999999995</v>
      </c>
      <c r="H50">
        <v>2929.2</v>
      </c>
      <c r="I50" t="s">
        <v>70</v>
      </c>
      <c r="J50">
        <v>5.73</v>
      </c>
      <c r="K50">
        <v>1696.07</v>
      </c>
    </row>
    <row r="51" spans="1:11">
      <c r="A51" t="s">
        <v>113</v>
      </c>
      <c r="B51" s="4">
        <v>45866</v>
      </c>
      <c r="C51" t="s">
        <v>51</v>
      </c>
      <c r="D51" t="s">
        <v>31</v>
      </c>
      <c r="E51">
        <v>11.4</v>
      </c>
      <c r="F51">
        <v>16399.7</v>
      </c>
      <c r="G51">
        <v>1133.5</v>
      </c>
      <c r="H51">
        <v>15266.2</v>
      </c>
      <c r="I51" t="s">
        <v>70</v>
      </c>
      <c r="J51">
        <v>3.16</v>
      </c>
      <c r="K51">
        <v>9250.7900000000009</v>
      </c>
    </row>
    <row r="52" spans="1:11">
      <c r="A52" t="s">
        <v>114</v>
      </c>
      <c r="B52" s="4">
        <v>45858</v>
      </c>
      <c r="C52" t="s">
        <v>47</v>
      </c>
      <c r="D52" t="s">
        <v>33</v>
      </c>
      <c r="E52">
        <v>7.5</v>
      </c>
      <c r="F52">
        <v>14758.8</v>
      </c>
      <c r="G52">
        <v>2198.6</v>
      </c>
      <c r="H52">
        <v>12560.2</v>
      </c>
      <c r="I52" t="s">
        <v>77</v>
      </c>
      <c r="J52">
        <v>6.59</v>
      </c>
      <c r="K52">
        <v>8238.25</v>
      </c>
    </row>
    <row r="53" spans="1:11">
      <c r="A53" t="s">
        <v>115</v>
      </c>
      <c r="B53" s="4">
        <v>46160</v>
      </c>
      <c r="C53" t="s">
        <v>47</v>
      </c>
      <c r="D53" t="s">
        <v>39</v>
      </c>
      <c r="E53">
        <v>10.4</v>
      </c>
      <c r="F53">
        <v>13805.3</v>
      </c>
      <c r="G53">
        <v>2144.6</v>
      </c>
      <c r="H53">
        <v>11660.7</v>
      </c>
      <c r="I53" t="s">
        <v>67</v>
      </c>
      <c r="J53">
        <v>5.34</v>
      </c>
      <c r="K53">
        <v>6785.53</v>
      </c>
    </row>
    <row r="54" spans="1:11">
      <c r="A54" t="s">
        <v>116</v>
      </c>
      <c r="B54" s="4">
        <v>46033</v>
      </c>
      <c r="C54" t="s">
        <v>49</v>
      </c>
      <c r="D54" t="s">
        <v>31</v>
      </c>
      <c r="E54">
        <v>4.8</v>
      </c>
      <c r="F54">
        <v>7109.2</v>
      </c>
      <c r="G54">
        <v>407.3</v>
      </c>
      <c r="H54">
        <v>6701.9</v>
      </c>
      <c r="I54" t="s">
        <v>70</v>
      </c>
      <c r="J54">
        <v>3.8</v>
      </c>
      <c r="K54">
        <v>8185.27</v>
      </c>
    </row>
    <row r="55" spans="1:11">
      <c r="A55" t="s">
        <v>117</v>
      </c>
      <c r="B55" s="4">
        <v>46095</v>
      </c>
      <c r="C55" t="s">
        <v>53</v>
      </c>
      <c r="D55" t="s">
        <v>39</v>
      </c>
      <c r="E55">
        <v>13.5</v>
      </c>
      <c r="F55">
        <v>27203.8</v>
      </c>
      <c r="G55">
        <v>770.1</v>
      </c>
      <c r="H55">
        <v>26433.7</v>
      </c>
      <c r="I55" t="s">
        <v>65</v>
      </c>
      <c r="J55">
        <v>4.9400000000000004</v>
      </c>
      <c r="K55">
        <v>16004.46</v>
      </c>
    </row>
    <row r="56" spans="1:11">
      <c r="A56" t="s">
        <v>118</v>
      </c>
      <c r="B56" s="4">
        <v>46203</v>
      </c>
      <c r="C56" t="s">
        <v>45</v>
      </c>
      <c r="D56" t="s">
        <v>35</v>
      </c>
      <c r="E56">
        <v>2.5</v>
      </c>
      <c r="F56">
        <v>18786.7</v>
      </c>
      <c r="G56">
        <v>1786</v>
      </c>
      <c r="H56">
        <v>17000.7</v>
      </c>
      <c r="I56" t="s">
        <v>77</v>
      </c>
      <c r="J56">
        <v>6.85</v>
      </c>
      <c r="K56">
        <v>3850.6</v>
      </c>
    </row>
    <row r="57" spans="1:11">
      <c r="A57" t="s">
        <v>119</v>
      </c>
      <c r="B57" s="4">
        <v>45939</v>
      </c>
      <c r="C57" t="s">
        <v>51</v>
      </c>
      <c r="D57" t="s">
        <v>37</v>
      </c>
      <c r="E57">
        <v>2.1</v>
      </c>
      <c r="F57">
        <v>13412</v>
      </c>
      <c r="G57">
        <v>478.2</v>
      </c>
      <c r="H57">
        <v>12933.8</v>
      </c>
      <c r="I57" t="s">
        <v>77</v>
      </c>
      <c r="J57">
        <v>8.1999999999999993</v>
      </c>
      <c r="K57">
        <v>3010.88</v>
      </c>
    </row>
    <row r="58" spans="1:11">
      <c r="A58" t="s">
        <v>120</v>
      </c>
      <c r="B58" s="4">
        <v>45990</v>
      </c>
      <c r="C58" t="s">
        <v>51</v>
      </c>
      <c r="D58" t="s">
        <v>37</v>
      </c>
      <c r="E58">
        <v>4.5999999999999996</v>
      </c>
      <c r="F58">
        <v>23960.5</v>
      </c>
      <c r="G58">
        <v>3347.8</v>
      </c>
      <c r="H58">
        <v>20612.7</v>
      </c>
      <c r="I58" t="s">
        <v>70</v>
      </c>
      <c r="J58">
        <v>9.44</v>
      </c>
      <c r="K58">
        <v>7303.61</v>
      </c>
    </row>
    <row r="59" spans="1:11">
      <c r="A59" t="s">
        <v>121</v>
      </c>
      <c r="B59" s="4">
        <v>46067</v>
      </c>
      <c r="C59" t="s">
        <v>45</v>
      </c>
      <c r="D59" t="s">
        <v>33</v>
      </c>
      <c r="E59">
        <v>3.4</v>
      </c>
      <c r="F59">
        <v>9396.1</v>
      </c>
      <c r="G59">
        <v>1133.3</v>
      </c>
      <c r="H59">
        <v>8262.7999999999993</v>
      </c>
      <c r="I59" t="s">
        <v>70</v>
      </c>
      <c r="J59">
        <v>6.87</v>
      </c>
      <c r="K59">
        <v>2360.56</v>
      </c>
    </row>
    <row r="60" spans="1:11">
      <c r="A60" t="s">
        <v>122</v>
      </c>
      <c r="B60" s="4">
        <v>46057</v>
      </c>
      <c r="C60" t="s">
        <v>49</v>
      </c>
      <c r="D60" t="s">
        <v>31</v>
      </c>
      <c r="E60">
        <v>12.2</v>
      </c>
      <c r="F60">
        <v>25001.1</v>
      </c>
      <c r="G60">
        <v>805.9</v>
      </c>
      <c r="H60">
        <v>24195.200000000001</v>
      </c>
      <c r="I60" t="s">
        <v>67</v>
      </c>
      <c r="J60">
        <v>3.09</v>
      </c>
      <c r="K60">
        <v>12512.82</v>
      </c>
    </row>
    <row r="61" spans="1:11">
      <c r="A61" t="s">
        <v>101</v>
      </c>
      <c r="B61" s="4">
        <v>45939</v>
      </c>
      <c r="C61" t="s">
        <v>49</v>
      </c>
      <c r="D61" t="s">
        <v>31</v>
      </c>
      <c r="E61">
        <v>3.8</v>
      </c>
      <c r="F61">
        <v>7146.4</v>
      </c>
      <c r="G61">
        <v>437.9</v>
      </c>
      <c r="H61">
        <v>6708.5</v>
      </c>
      <c r="I61" t="s">
        <v>70</v>
      </c>
      <c r="J61">
        <v>3.81</v>
      </c>
      <c r="K61">
        <v>4013</v>
      </c>
    </row>
    <row r="62" spans="1:11">
      <c r="A62" t="s">
        <v>81</v>
      </c>
      <c r="B62" s="4">
        <v>46178</v>
      </c>
      <c r="C62" t="s">
        <v>53</v>
      </c>
      <c r="D62" t="s">
        <v>33</v>
      </c>
      <c r="E62">
        <v>14.1</v>
      </c>
      <c r="F62">
        <v>35942.9</v>
      </c>
      <c r="G62">
        <v>2112.9</v>
      </c>
      <c r="H62">
        <v>33830</v>
      </c>
      <c r="I62" t="s">
        <v>70</v>
      </c>
      <c r="J62">
        <v>6.61</v>
      </c>
      <c r="K62">
        <v>21007.31</v>
      </c>
    </row>
    <row r="63" spans="1:11">
      <c r="A63" t="s">
        <v>123</v>
      </c>
      <c r="B63" s="4">
        <v>46041</v>
      </c>
      <c r="C63" t="s">
        <v>53</v>
      </c>
      <c r="D63" t="s">
        <v>37</v>
      </c>
      <c r="E63">
        <v>11.7</v>
      </c>
      <c r="F63">
        <v>56773</v>
      </c>
      <c r="G63">
        <v>1802.5</v>
      </c>
      <c r="H63">
        <v>54970.5</v>
      </c>
      <c r="I63" t="s">
        <v>77</v>
      </c>
      <c r="J63">
        <v>9.11</v>
      </c>
      <c r="K63">
        <v>16365.19</v>
      </c>
    </row>
    <row r="64" spans="1:11">
      <c r="A64" t="s">
        <v>124</v>
      </c>
      <c r="B64" s="4">
        <v>45938</v>
      </c>
      <c r="C64" t="s">
        <v>45</v>
      </c>
      <c r="D64" t="s">
        <v>39</v>
      </c>
      <c r="E64">
        <v>14.4</v>
      </c>
      <c r="F64">
        <v>18762.900000000001</v>
      </c>
      <c r="G64">
        <v>480.3</v>
      </c>
      <c r="H64">
        <v>18282.599999999999</v>
      </c>
      <c r="I64" t="s">
        <v>77</v>
      </c>
      <c r="J64">
        <v>4.16</v>
      </c>
      <c r="K64">
        <v>22891.31</v>
      </c>
    </row>
    <row r="65" spans="1:11">
      <c r="A65" t="s">
        <v>125</v>
      </c>
      <c r="B65" s="4">
        <v>45906</v>
      </c>
      <c r="C65" t="s">
        <v>45</v>
      </c>
      <c r="D65" t="s">
        <v>37</v>
      </c>
      <c r="E65">
        <v>2.1</v>
      </c>
      <c r="F65">
        <v>8858.2999999999993</v>
      </c>
      <c r="G65">
        <v>1069</v>
      </c>
      <c r="H65">
        <v>7789.3</v>
      </c>
      <c r="I65" t="s">
        <v>67</v>
      </c>
      <c r="J65">
        <v>8.93</v>
      </c>
      <c r="K65">
        <v>3734.6</v>
      </c>
    </row>
    <row r="66" spans="1:11">
      <c r="A66" t="s">
        <v>126</v>
      </c>
      <c r="B66" s="4">
        <v>45977</v>
      </c>
      <c r="C66" t="s">
        <v>51</v>
      </c>
      <c r="D66" t="s">
        <v>39</v>
      </c>
      <c r="E66">
        <v>1.4</v>
      </c>
      <c r="F66">
        <v>2466.1</v>
      </c>
      <c r="G66">
        <v>268.2</v>
      </c>
      <c r="H66">
        <v>2197.9</v>
      </c>
      <c r="I66" t="s">
        <v>65</v>
      </c>
      <c r="J66">
        <v>5.17</v>
      </c>
      <c r="K66">
        <v>2219.58</v>
      </c>
    </row>
    <row r="67" spans="1:11">
      <c r="A67" t="s">
        <v>107</v>
      </c>
      <c r="B67" s="4">
        <v>46106</v>
      </c>
      <c r="C67" t="s">
        <v>45</v>
      </c>
      <c r="D67" t="s">
        <v>33</v>
      </c>
      <c r="E67">
        <v>8.6</v>
      </c>
      <c r="F67">
        <v>16866</v>
      </c>
      <c r="G67">
        <v>2005.3</v>
      </c>
      <c r="H67">
        <v>14860.7</v>
      </c>
      <c r="I67" t="s">
        <v>77</v>
      </c>
      <c r="J67">
        <v>5.27</v>
      </c>
      <c r="K67">
        <v>9715.42</v>
      </c>
    </row>
    <row r="68" spans="1:11">
      <c r="A68" t="s">
        <v>127</v>
      </c>
      <c r="B68" s="4">
        <v>46200</v>
      </c>
      <c r="C68" t="s">
        <v>45</v>
      </c>
      <c r="D68" t="s">
        <v>35</v>
      </c>
      <c r="E68">
        <v>9.8000000000000007</v>
      </c>
      <c r="F68">
        <v>80551.199999999997</v>
      </c>
      <c r="G68">
        <v>10962.6</v>
      </c>
      <c r="H68">
        <v>69588.600000000006</v>
      </c>
      <c r="I68" t="s">
        <v>70</v>
      </c>
      <c r="J68">
        <v>7.1</v>
      </c>
      <c r="K68">
        <v>8282.5499999999993</v>
      </c>
    </row>
    <row r="69" spans="1:11">
      <c r="A69" t="s">
        <v>86</v>
      </c>
      <c r="B69" s="4">
        <v>46110</v>
      </c>
      <c r="C69" t="s">
        <v>53</v>
      </c>
      <c r="D69" t="s">
        <v>41</v>
      </c>
      <c r="E69">
        <v>9.1</v>
      </c>
      <c r="F69">
        <v>48805.1</v>
      </c>
      <c r="G69">
        <v>1403.2</v>
      </c>
      <c r="H69">
        <v>47401.9</v>
      </c>
      <c r="I69" t="s">
        <v>70</v>
      </c>
      <c r="J69">
        <v>2.25</v>
      </c>
      <c r="K69">
        <v>12042.45</v>
      </c>
    </row>
    <row r="70" spans="1:11">
      <c r="A70" t="s">
        <v>128</v>
      </c>
      <c r="B70" s="4">
        <v>45915</v>
      </c>
      <c r="C70" t="s">
        <v>49</v>
      </c>
      <c r="D70" t="s">
        <v>37</v>
      </c>
      <c r="E70">
        <v>1.6</v>
      </c>
      <c r="F70">
        <v>9349.9</v>
      </c>
      <c r="G70">
        <v>754.9</v>
      </c>
      <c r="H70">
        <v>8595</v>
      </c>
      <c r="I70" t="s">
        <v>70</v>
      </c>
      <c r="J70">
        <v>9.56</v>
      </c>
      <c r="K70">
        <v>1810.8</v>
      </c>
    </row>
    <row r="71" spans="1:11">
      <c r="A71" t="s">
        <v>129</v>
      </c>
      <c r="B71" s="4">
        <v>46103</v>
      </c>
      <c r="C71" t="s">
        <v>45</v>
      </c>
      <c r="D71" t="s">
        <v>31</v>
      </c>
      <c r="E71">
        <v>2.2000000000000002</v>
      </c>
      <c r="F71">
        <v>4295.3</v>
      </c>
      <c r="G71">
        <v>380</v>
      </c>
      <c r="H71">
        <v>3915.3</v>
      </c>
      <c r="I71" t="s">
        <v>65</v>
      </c>
      <c r="J71">
        <v>3.07</v>
      </c>
      <c r="K71">
        <v>3355.13</v>
      </c>
    </row>
    <row r="72" spans="1:11">
      <c r="A72" t="s">
        <v>130</v>
      </c>
      <c r="B72" s="4">
        <v>46080</v>
      </c>
      <c r="C72" t="s">
        <v>53</v>
      </c>
      <c r="D72" t="s">
        <v>37</v>
      </c>
      <c r="E72">
        <v>2.6</v>
      </c>
      <c r="F72">
        <v>9754.9</v>
      </c>
      <c r="G72">
        <v>750.6</v>
      </c>
      <c r="H72">
        <v>9004.2999999999993</v>
      </c>
      <c r="I72" t="s">
        <v>67</v>
      </c>
      <c r="J72">
        <v>8.51</v>
      </c>
      <c r="K72">
        <v>2492.86</v>
      </c>
    </row>
    <row r="73" spans="1:11">
      <c r="A73" t="s">
        <v>124</v>
      </c>
      <c r="B73" s="4">
        <v>46070</v>
      </c>
      <c r="C73" t="s">
        <v>51</v>
      </c>
      <c r="D73" t="s">
        <v>35</v>
      </c>
      <c r="E73">
        <v>11</v>
      </c>
      <c r="F73">
        <v>104406.2</v>
      </c>
      <c r="G73">
        <v>12876.5</v>
      </c>
      <c r="H73">
        <v>91529.7</v>
      </c>
      <c r="I73" t="s">
        <v>65</v>
      </c>
      <c r="J73">
        <v>5.61</v>
      </c>
      <c r="K73">
        <v>10120.299999999999</v>
      </c>
    </row>
    <row r="74" spans="1:11">
      <c r="A74" t="s">
        <v>131</v>
      </c>
      <c r="B74" s="4">
        <v>45886</v>
      </c>
      <c r="C74" t="s">
        <v>45</v>
      </c>
      <c r="D74" t="s">
        <v>33</v>
      </c>
      <c r="E74">
        <v>12.4</v>
      </c>
      <c r="F74">
        <v>18046.5</v>
      </c>
      <c r="G74">
        <v>2817.4</v>
      </c>
      <c r="H74">
        <v>15229.1</v>
      </c>
      <c r="I74" t="s">
        <v>77</v>
      </c>
      <c r="J74">
        <v>6.72</v>
      </c>
      <c r="K74">
        <v>19927.310000000001</v>
      </c>
    </row>
    <row r="75" spans="1:11">
      <c r="A75" t="s">
        <v>132</v>
      </c>
      <c r="B75" s="4">
        <v>46048</v>
      </c>
      <c r="C75" t="s">
        <v>49</v>
      </c>
      <c r="D75" t="s">
        <v>39</v>
      </c>
      <c r="E75">
        <v>9.3000000000000007</v>
      </c>
      <c r="F75">
        <v>10902.6</v>
      </c>
      <c r="G75">
        <v>1683.1</v>
      </c>
      <c r="H75">
        <v>9219.5</v>
      </c>
      <c r="I75" t="s">
        <v>77</v>
      </c>
      <c r="J75">
        <v>4.8099999999999996</v>
      </c>
      <c r="K75">
        <v>8556.2000000000007</v>
      </c>
    </row>
    <row r="76" spans="1:11">
      <c r="A76" t="s">
        <v>133</v>
      </c>
      <c r="B76" s="4">
        <v>45983</v>
      </c>
      <c r="C76" t="s">
        <v>53</v>
      </c>
      <c r="D76" t="s">
        <v>31</v>
      </c>
      <c r="E76">
        <v>10.199999999999999</v>
      </c>
      <c r="F76">
        <v>17039.7</v>
      </c>
      <c r="G76">
        <v>963</v>
      </c>
      <c r="H76">
        <v>16076.7</v>
      </c>
      <c r="I76" t="s">
        <v>77</v>
      </c>
      <c r="J76">
        <v>3.52</v>
      </c>
      <c r="K76">
        <v>10460.280000000001</v>
      </c>
    </row>
    <row r="77" spans="1:11">
      <c r="A77" t="s">
        <v>73</v>
      </c>
      <c r="B77" s="4">
        <v>46105</v>
      </c>
      <c r="C77" t="s">
        <v>53</v>
      </c>
      <c r="D77" t="s">
        <v>37</v>
      </c>
      <c r="E77">
        <v>12.6</v>
      </c>
      <c r="F77">
        <v>73817.2</v>
      </c>
      <c r="G77">
        <v>9208.7999999999993</v>
      </c>
      <c r="H77">
        <v>64608.4</v>
      </c>
      <c r="I77" t="s">
        <v>70</v>
      </c>
      <c r="J77">
        <v>9.3000000000000007</v>
      </c>
      <c r="K77">
        <v>22078.68</v>
      </c>
    </row>
    <row r="78" spans="1:11">
      <c r="A78" t="s">
        <v>134</v>
      </c>
      <c r="B78" s="4">
        <v>46148</v>
      </c>
      <c r="C78" t="s">
        <v>47</v>
      </c>
      <c r="D78" t="s">
        <v>33</v>
      </c>
      <c r="E78">
        <v>9.3000000000000007</v>
      </c>
      <c r="F78">
        <v>23536.1</v>
      </c>
      <c r="G78">
        <v>745.9</v>
      </c>
      <c r="H78">
        <v>22790.2</v>
      </c>
      <c r="I78" t="s">
        <v>77</v>
      </c>
      <c r="J78">
        <v>6.12</v>
      </c>
      <c r="K78">
        <v>7104.77</v>
      </c>
    </row>
    <row r="79" spans="1:11">
      <c r="A79" t="s">
        <v>135</v>
      </c>
      <c r="B79" s="4">
        <v>45867</v>
      </c>
      <c r="C79" t="s">
        <v>51</v>
      </c>
      <c r="D79" t="s">
        <v>35</v>
      </c>
      <c r="E79">
        <v>9.1999999999999993</v>
      </c>
      <c r="F79">
        <v>74230.600000000006</v>
      </c>
      <c r="G79">
        <v>8783.2999999999993</v>
      </c>
      <c r="H79">
        <v>65447.3</v>
      </c>
      <c r="I79" t="s">
        <v>67</v>
      </c>
      <c r="J79">
        <v>7.33</v>
      </c>
      <c r="K79">
        <v>11472.06</v>
      </c>
    </row>
    <row r="80" spans="1:11">
      <c r="A80" t="s">
        <v>136</v>
      </c>
      <c r="B80" s="4">
        <v>46081</v>
      </c>
      <c r="C80" t="s">
        <v>51</v>
      </c>
      <c r="D80" t="s">
        <v>39</v>
      </c>
      <c r="E80">
        <v>13.6</v>
      </c>
      <c r="F80">
        <v>24776</v>
      </c>
      <c r="G80">
        <v>3936.1</v>
      </c>
      <c r="H80">
        <v>20839.900000000001</v>
      </c>
      <c r="I80" t="s">
        <v>70</v>
      </c>
      <c r="J80">
        <v>4.58</v>
      </c>
      <c r="K80">
        <v>19472.03</v>
      </c>
    </row>
    <row r="81" spans="1:11">
      <c r="A81" t="s">
        <v>137</v>
      </c>
      <c r="B81" s="4">
        <v>45903</v>
      </c>
      <c r="C81" t="s">
        <v>53</v>
      </c>
      <c r="D81" t="s">
        <v>35</v>
      </c>
      <c r="E81">
        <v>11.7</v>
      </c>
      <c r="F81">
        <v>99877.3</v>
      </c>
      <c r="G81">
        <v>13114.4</v>
      </c>
      <c r="H81">
        <v>86762.9</v>
      </c>
      <c r="I81" t="s">
        <v>77</v>
      </c>
      <c r="J81">
        <v>7.01</v>
      </c>
      <c r="K81">
        <v>20847.78</v>
      </c>
    </row>
    <row r="82" spans="1:11">
      <c r="A82" t="s">
        <v>138</v>
      </c>
      <c r="B82" s="4">
        <v>46095</v>
      </c>
      <c r="C82" t="s">
        <v>45</v>
      </c>
      <c r="D82" t="s">
        <v>35</v>
      </c>
      <c r="E82">
        <v>1.9</v>
      </c>
      <c r="F82">
        <v>12904.6</v>
      </c>
      <c r="G82">
        <v>973</v>
      </c>
      <c r="H82">
        <v>11931.6</v>
      </c>
      <c r="I82" t="s">
        <v>65</v>
      </c>
      <c r="J82">
        <v>7.38</v>
      </c>
      <c r="K82">
        <v>1247.97</v>
      </c>
    </row>
    <row r="83" spans="1:11">
      <c r="A83" t="s">
        <v>139</v>
      </c>
      <c r="B83" s="4">
        <v>45908</v>
      </c>
      <c r="C83" t="s">
        <v>47</v>
      </c>
      <c r="D83" t="s">
        <v>31</v>
      </c>
      <c r="E83">
        <v>12.5</v>
      </c>
      <c r="F83">
        <v>17372.7</v>
      </c>
      <c r="G83">
        <v>1614.9</v>
      </c>
      <c r="H83">
        <v>15757.8</v>
      </c>
      <c r="I83" t="s">
        <v>67</v>
      </c>
      <c r="J83">
        <v>3.64</v>
      </c>
      <c r="K83">
        <v>10941.15</v>
      </c>
    </row>
    <row r="84" spans="1:11">
      <c r="A84" t="s">
        <v>140</v>
      </c>
      <c r="B84" s="4">
        <v>46013</v>
      </c>
      <c r="C84" t="s">
        <v>51</v>
      </c>
      <c r="D84" t="s">
        <v>33</v>
      </c>
      <c r="E84">
        <v>13</v>
      </c>
      <c r="F84">
        <v>31528</v>
      </c>
      <c r="G84">
        <v>4813</v>
      </c>
      <c r="H84">
        <v>26715</v>
      </c>
      <c r="I84" t="s">
        <v>77</v>
      </c>
      <c r="J84">
        <v>5.15</v>
      </c>
      <c r="K84">
        <v>18951.830000000002</v>
      </c>
    </row>
    <row r="85" spans="1:11">
      <c r="A85" t="s">
        <v>73</v>
      </c>
      <c r="B85" s="4">
        <v>45975</v>
      </c>
      <c r="C85" t="s">
        <v>45</v>
      </c>
      <c r="D85" t="s">
        <v>35</v>
      </c>
      <c r="E85">
        <v>4.5999999999999996</v>
      </c>
      <c r="F85">
        <v>39238.800000000003</v>
      </c>
      <c r="G85">
        <v>5922.4</v>
      </c>
      <c r="H85">
        <v>33316.400000000001</v>
      </c>
      <c r="I85" t="s">
        <v>77</v>
      </c>
      <c r="J85">
        <v>7.71</v>
      </c>
      <c r="K85">
        <v>7773.3</v>
      </c>
    </row>
    <row r="86" spans="1:11">
      <c r="A86" t="s">
        <v>141</v>
      </c>
      <c r="B86" s="4">
        <v>46100</v>
      </c>
      <c r="C86" t="s">
        <v>47</v>
      </c>
      <c r="D86" t="s">
        <v>37</v>
      </c>
      <c r="E86">
        <v>9.1</v>
      </c>
      <c r="F86">
        <v>58175.8</v>
      </c>
      <c r="G86">
        <v>8401.9</v>
      </c>
      <c r="H86">
        <v>49773.9</v>
      </c>
      <c r="I86" t="s">
        <v>70</v>
      </c>
      <c r="J86">
        <v>9.44</v>
      </c>
      <c r="K86">
        <v>7761.58</v>
      </c>
    </row>
    <row r="87" spans="1:11">
      <c r="A87" t="s">
        <v>120</v>
      </c>
      <c r="B87" s="4">
        <v>46122</v>
      </c>
      <c r="C87" t="s">
        <v>51</v>
      </c>
      <c r="D87" t="s">
        <v>37</v>
      </c>
      <c r="E87">
        <v>7.1</v>
      </c>
      <c r="F87">
        <v>43735.7</v>
      </c>
      <c r="G87">
        <v>4671.2</v>
      </c>
      <c r="H87">
        <v>39064.5</v>
      </c>
      <c r="I87" t="s">
        <v>142</v>
      </c>
      <c r="J87">
        <v>10.74</v>
      </c>
      <c r="K87">
        <v>6460.11</v>
      </c>
    </row>
    <row r="88" spans="1:11">
      <c r="A88" t="s">
        <v>143</v>
      </c>
      <c r="B88" s="4">
        <v>45840</v>
      </c>
      <c r="C88" t="s">
        <v>49</v>
      </c>
      <c r="D88" t="s">
        <v>35</v>
      </c>
      <c r="E88">
        <v>6.4</v>
      </c>
      <c r="F88">
        <v>60240.2</v>
      </c>
      <c r="G88">
        <v>4754.5</v>
      </c>
      <c r="H88">
        <v>55485.7</v>
      </c>
      <c r="I88" t="s">
        <v>65</v>
      </c>
      <c r="J88">
        <v>5.86</v>
      </c>
      <c r="K88">
        <v>10612.21</v>
      </c>
    </row>
    <row r="89" spans="1:11">
      <c r="A89" t="s">
        <v>71</v>
      </c>
      <c r="B89" s="4">
        <v>45955</v>
      </c>
      <c r="C89" t="s">
        <v>47</v>
      </c>
      <c r="D89" t="s">
        <v>35</v>
      </c>
      <c r="E89">
        <v>1.8</v>
      </c>
      <c r="F89">
        <v>16131.1</v>
      </c>
      <c r="G89">
        <v>1842.6</v>
      </c>
      <c r="H89">
        <v>14288.5</v>
      </c>
      <c r="I89" t="s">
        <v>67</v>
      </c>
      <c r="J89">
        <v>5.67</v>
      </c>
      <c r="K89">
        <v>2041.49</v>
      </c>
    </row>
    <row r="90" spans="1:11">
      <c r="A90" t="s">
        <v>107</v>
      </c>
      <c r="B90" s="4">
        <v>45840</v>
      </c>
      <c r="C90" t="s">
        <v>51</v>
      </c>
      <c r="D90" t="s">
        <v>33</v>
      </c>
      <c r="E90">
        <v>3.5</v>
      </c>
      <c r="F90">
        <v>6683.8</v>
      </c>
      <c r="G90">
        <v>1020.1</v>
      </c>
      <c r="H90">
        <v>5663.7</v>
      </c>
      <c r="I90" t="s">
        <v>67</v>
      </c>
      <c r="J90">
        <v>5.25</v>
      </c>
      <c r="K90">
        <v>4642.1400000000003</v>
      </c>
    </row>
    <row r="91" spans="1:11">
      <c r="A91" t="s">
        <v>144</v>
      </c>
      <c r="B91" s="4">
        <v>45872</v>
      </c>
      <c r="C91" t="s">
        <v>49</v>
      </c>
      <c r="D91" t="s">
        <v>39</v>
      </c>
      <c r="E91">
        <v>10.6</v>
      </c>
      <c r="F91">
        <v>19146.7</v>
      </c>
      <c r="G91">
        <v>1615.6</v>
      </c>
      <c r="H91">
        <v>17531.099999999999</v>
      </c>
      <c r="I91" t="s">
        <v>70</v>
      </c>
      <c r="J91">
        <v>4.2</v>
      </c>
      <c r="K91">
        <v>7664.18</v>
      </c>
    </row>
    <row r="92" spans="1:11">
      <c r="A92" t="s">
        <v>145</v>
      </c>
      <c r="B92" s="4">
        <v>45869</v>
      </c>
      <c r="C92" t="s">
        <v>53</v>
      </c>
      <c r="D92" t="s">
        <v>39</v>
      </c>
      <c r="E92">
        <v>2.7</v>
      </c>
      <c r="F92">
        <v>3429.2</v>
      </c>
      <c r="G92">
        <v>427.4</v>
      </c>
      <c r="H92">
        <v>3001.8</v>
      </c>
      <c r="I92" t="s">
        <v>67</v>
      </c>
      <c r="J92">
        <v>4.5199999999999996</v>
      </c>
      <c r="K92">
        <v>2583.6999999999998</v>
      </c>
    </row>
    <row r="93" spans="1:11">
      <c r="A93" t="s">
        <v>146</v>
      </c>
      <c r="B93" s="4">
        <v>46177</v>
      </c>
      <c r="C93" t="s">
        <v>47</v>
      </c>
      <c r="D93" t="s">
        <v>33</v>
      </c>
      <c r="E93">
        <v>10.3</v>
      </c>
      <c r="F93">
        <v>19174.3</v>
      </c>
      <c r="G93">
        <v>539</v>
      </c>
      <c r="H93">
        <v>18635.3</v>
      </c>
      <c r="I93" t="s">
        <v>65</v>
      </c>
      <c r="J93">
        <v>5.44</v>
      </c>
      <c r="K93">
        <v>9974.19</v>
      </c>
    </row>
    <row r="94" spans="1:11">
      <c r="A94" t="s">
        <v>147</v>
      </c>
      <c r="B94" s="4">
        <v>45969</v>
      </c>
      <c r="C94" t="s">
        <v>45</v>
      </c>
      <c r="D94" t="s">
        <v>33</v>
      </c>
      <c r="E94">
        <v>7.2</v>
      </c>
      <c r="F94">
        <v>16325.3</v>
      </c>
      <c r="G94">
        <v>822.7</v>
      </c>
      <c r="H94">
        <v>15502.6</v>
      </c>
      <c r="I94" t="s">
        <v>65</v>
      </c>
      <c r="J94">
        <v>6.79</v>
      </c>
      <c r="K94">
        <v>11914.67</v>
      </c>
    </row>
    <row r="95" spans="1:11">
      <c r="A95" t="s">
        <v>148</v>
      </c>
      <c r="B95" s="4">
        <v>46009</v>
      </c>
      <c r="C95" t="s">
        <v>47</v>
      </c>
      <c r="D95" t="s">
        <v>41</v>
      </c>
      <c r="E95">
        <v>8.1999999999999993</v>
      </c>
      <c r="F95">
        <v>47929.599999999999</v>
      </c>
      <c r="G95">
        <v>5728.3</v>
      </c>
      <c r="H95">
        <v>42201.3</v>
      </c>
      <c r="I95" t="s">
        <v>77</v>
      </c>
      <c r="J95">
        <v>2.11</v>
      </c>
      <c r="K95">
        <v>9664.24</v>
      </c>
    </row>
    <row r="96" spans="1:11">
      <c r="A96" t="s">
        <v>149</v>
      </c>
      <c r="B96" s="4">
        <v>45938</v>
      </c>
      <c r="C96" t="s">
        <v>51</v>
      </c>
      <c r="D96" t="s">
        <v>33</v>
      </c>
      <c r="E96">
        <v>3.7</v>
      </c>
      <c r="F96">
        <v>7452.3</v>
      </c>
      <c r="G96">
        <v>1075.3</v>
      </c>
      <c r="H96">
        <v>6377</v>
      </c>
      <c r="I96" t="s">
        <v>67</v>
      </c>
      <c r="J96">
        <v>5.81</v>
      </c>
      <c r="K96">
        <v>4099.08</v>
      </c>
    </row>
    <row r="97" spans="1:11">
      <c r="A97" t="s">
        <v>82</v>
      </c>
      <c r="B97" s="4">
        <v>45935</v>
      </c>
      <c r="C97" t="s">
        <v>51</v>
      </c>
      <c r="D97" t="s">
        <v>41</v>
      </c>
      <c r="E97">
        <v>13.8</v>
      </c>
      <c r="F97">
        <v>106345.9</v>
      </c>
      <c r="G97">
        <v>13447.2</v>
      </c>
      <c r="H97">
        <v>92898.7</v>
      </c>
      <c r="I97" t="s">
        <v>67</v>
      </c>
      <c r="J97">
        <v>2.0699999999999998</v>
      </c>
      <c r="K97">
        <v>19068.21</v>
      </c>
    </row>
    <row r="98" spans="1:11">
      <c r="A98" t="s">
        <v>146</v>
      </c>
      <c r="B98" s="4">
        <v>46001</v>
      </c>
      <c r="C98" t="s">
        <v>49</v>
      </c>
      <c r="D98" t="s">
        <v>37</v>
      </c>
      <c r="E98">
        <v>3.2</v>
      </c>
      <c r="F98">
        <v>19713.099999999999</v>
      </c>
      <c r="G98">
        <v>2084.3000000000002</v>
      </c>
      <c r="H98">
        <v>17628.8</v>
      </c>
      <c r="I98" t="s">
        <v>77</v>
      </c>
      <c r="J98">
        <v>8.5299999999999994</v>
      </c>
      <c r="K98">
        <v>3683.3</v>
      </c>
    </row>
    <row r="99" spans="1:11">
      <c r="A99" t="s">
        <v>150</v>
      </c>
      <c r="B99" s="4">
        <v>46174</v>
      </c>
      <c r="C99" t="s">
        <v>47</v>
      </c>
      <c r="D99" t="s">
        <v>35</v>
      </c>
      <c r="E99">
        <v>2.5</v>
      </c>
      <c r="F99">
        <v>20854.5</v>
      </c>
      <c r="G99">
        <v>831.3</v>
      </c>
      <c r="H99">
        <v>20023.2</v>
      </c>
      <c r="I99" t="s">
        <v>70</v>
      </c>
      <c r="J99">
        <v>6.64</v>
      </c>
      <c r="K99">
        <v>2338.15</v>
      </c>
    </row>
    <row r="100" spans="1:11">
      <c r="A100" t="s">
        <v>151</v>
      </c>
      <c r="B100" s="4">
        <v>46176</v>
      </c>
      <c r="C100" t="s">
        <v>49</v>
      </c>
      <c r="D100" t="s">
        <v>41</v>
      </c>
      <c r="E100">
        <v>7.1</v>
      </c>
      <c r="F100">
        <v>37677</v>
      </c>
      <c r="G100">
        <v>1688.8</v>
      </c>
      <c r="H100">
        <v>35988.199999999997</v>
      </c>
      <c r="I100" t="s">
        <v>67</v>
      </c>
      <c r="J100">
        <v>2.29</v>
      </c>
      <c r="K100">
        <v>11987.46</v>
      </c>
    </row>
    <row r="101" spans="1:11">
      <c r="A101" t="s">
        <v>152</v>
      </c>
      <c r="B101" s="4">
        <v>46090</v>
      </c>
      <c r="C101" t="s">
        <v>51</v>
      </c>
      <c r="D101" t="s">
        <v>37</v>
      </c>
      <c r="E101">
        <v>8.9</v>
      </c>
      <c r="F101">
        <v>54508.800000000003</v>
      </c>
      <c r="G101">
        <v>6570.4</v>
      </c>
      <c r="H101">
        <v>47938.400000000001</v>
      </c>
      <c r="I101" t="s">
        <v>67</v>
      </c>
      <c r="J101">
        <v>8.24</v>
      </c>
      <c r="K101">
        <v>15786.42</v>
      </c>
    </row>
    <row r="102" spans="1:11">
      <c r="A102" t="s">
        <v>153</v>
      </c>
      <c r="B102" s="4">
        <v>46175</v>
      </c>
      <c r="C102" t="s">
        <v>49</v>
      </c>
      <c r="D102" t="s">
        <v>35</v>
      </c>
      <c r="E102">
        <v>14.3</v>
      </c>
      <c r="F102">
        <v>120407.9</v>
      </c>
      <c r="G102">
        <v>9605.7000000000007</v>
      </c>
      <c r="H102">
        <v>110802.2</v>
      </c>
      <c r="I102" t="s">
        <v>77</v>
      </c>
      <c r="J102">
        <v>5.71</v>
      </c>
      <c r="K102">
        <v>15274.81</v>
      </c>
    </row>
    <row r="103" spans="1:11">
      <c r="A103" t="s">
        <v>154</v>
      </c>
      <c r="B103" s="4">
        <v>45950</v>
      </c>
      <c r="C103" t="s">
        <v>53</v>
      </c>
      <c r="D103" t="s">
        <v>41</v>
      </c>
      <c r="E103">
        <v>11.5</v>
      </c>
      <c r="F103">
        <v>64467.199999999997</v>
      </c>
      <c r="G103">
        <v>10019.299999999999</v>
      </c>
      <c r="H103">
        <v>54447.9</v>
      </c>
      <c r="I103" t="s">
        <v>67</v>
      </c>
      <c r="J103">
        <v>2.2200000000000002</v>
      </c>
      <c r="K103">
        <v>12614.98</v>
      </c>
    </row>
    <row r="104" spans="1:11">
      <c r="A104" t="s">
        <v>155</v>
      </c>
      <c r="B104" s="4">
        <v>46195</v>
      </c>
      <c r="C104" t="s">
        <v>45</v>
      </c>
      <c r="D104" t="s">
        <v>37</v>
      </c>
      <c r="E104">
        <v>10.4</v>
      </c>
      <c r="F104">
        <v>50348</v>
      </c>
      <c r="G104">
        <v>3605</v>
      </c>
      <c r="H104">
        <v>46743</v>
      </c>
      <c r="I104" t="s">
        <v>65</v>
      </c>
      <c r="J104">
        <v>9.58</v>
      </c>
      <c r="K104">
        <v>17048.23</v>
      </c>
    </row>
    <row r="105" spans="1:11">
      <c r="A105" t="s">
        <v>73</v>
      </c>
      <c r="B105" s="4">
        <v>46039</v>
      </c>
      <c r="C105" t="s">
        <v>53</v>
      </c>
      <c r="D105" t="s">
        <v>33</v>
      </c>
      <c r="E105">
        <v>10.7</v>
      </c>
      <c r="F105">
        <v>17678.8</v>
      </c>
      <c r="G105">
        <v>1336.5</v>
      </c>
      <c r="H105">
        <v>16342.3</v>
      </c>
      <c r="I105" t="s">
        <v>67</v>
      </c>
      <c r="J105">
        <v>5.59</v>
      </c>
      <c r="K105">
        <v>16567.66</v>
      </c>
    </row>
    <row r="106" spans="1:11">
      <c r="A106" t="s">
        <v>64</v>
      </c>
      <c r="B106" s="4">
        <v>45992</v>
      </c>
      <c r="C106" t="s">
        <v>45</v>
      </c>
      <c r="D106" t="s">
        <v>31</v>
      </c>
      <c r="E106">
        <v>7.4</v>
      </c>
      <c r="F106">
        <v>16807.599999999999</v>
      </c>
      <c r="G106">
        <v>2460.3000000000002</v>
      </c>
      <c r="H106">
        <v>14347.3</v>
      </c>
      <c r="I106" t="s">
        <v>70</v>
      </c>
      <c r="J106">
        <v>3.7</v>
      </c>
      <c r="K106">
        <v>11257.05</v>
      </c>
    </row>
    <row r="107" spans="1:11">
      <c r="A107" t="s">
        <v>156</v>
      </c>
      <c r="B107" s="4">
        <v>45919</v>
      </c>
      <c r="C107" t="s">
        <v>53</v>
      </c>
      <c r="D107" t="s">
        <v>31</v>
      </c>
      <c r="E107">
        <v>7.1</v>
      </c>
      <c r="F107">
        <v>10192.9</v>
      </c>
      <c r="G107">
        <v>1514.8</v>
      </c>
      <c r="H107">
        <v>8678.1</v>
      </c>
      <c r="I107" t="s">
        <v>67</v>
      </c>
      <c r="J107">
        <v>3.15</v>
      </c>
      <c r="K107">
        <v>10686.17</v>
      </c>
    </row>
    <row r="108" spans="1:11">
      <c r="A108" t="s">
        <v>136</v>
      </c>
      <c r="B108" s="4">
        <v>45910</v>
      </c>
      <c r="C108" t="s">
        <v>51</v>
      </c>
      <c r="D108" t="s">
        <v>41</v>
      </c>
      <c r="E108">
        <v>8.1</v>
      </c>
      <c r="F108">
        <v>61997.9</v>
      </c>
      <c r="G108">
        <v>7266.6</v>
      </c>
      <c r="H108">
        <v>54731.3</v>
      </c>
      <c r="I108" t="s">
        <v>77</v>
      </c>
      <c r="J108">
        <v>2.2799999999999998</v>
      </c>
      <c r="K108">
        <v>14139.15</v>
      </c>
    </row>
    <row r="109" spans="1:11">
      <c r="A109" t="s">
        <v>157</v>
      </c>
      <c r="B109" s="4">
        <v>45985</v>
      </c>
      <c r="C109" t="s">
        <v>49</v>
      </c>
      <c r="D109" t="s">
        <v>33</v>
      </c>
      <c r="E109">
        <v>9.5</v>
      </c>
      <c r="F109">
        <v>15368.5</v>
      </c>
      <c r="G109">
        <v>1801</v>
      </c>
      <c r="H109">
        <v>13567.5</v>
      </c>
      <c r="I109" t="s">
        <v>67</v>
      </c>
      <c r="J109">
        <v>5.96</v>
      </c>
      <c r="K109">
        <v>13336.61</v>
      </c>
    </row>
    <row r="110" spans="1:11">
      <c r="A110" t="s">
        <v>158</v>
      </c>
      <c r="B110" s="4">
        <v>46148</v>
      </c>
      <c r="C110" t="s">
        <v>49</v>
      </c>
      <c r="D110" t="s">
        <v>35</v>
      </c>
      <c r="E110">
        <v>3.9</v>
      </c>
      <c r="F110">
        <v>25562.6</v>
      </c>
      <c r="G110">
        <v>1374.7</v>
      </c>
      <c r="H110">
        <v>24187.9</v>
      </c>
      <c r="I110" t="s">
        <v>77</v>
      </c>
      <c r="J110">
        <v>6.11</v>
      </c>
      <c r="K110">
        <v>5490.85</v>
      </c>
    </row>
    <row r="111" spans="1:11">
      <c r="A111" t="s">
        <v>159</v>
      </c>
      <c r="B111" s="4">
        <v>46074</v>
      </c>
      <c r="C111" t="s">
        <v>51</v>
      </c>
      <c r="D111" t="s">
        <v>39</v>
      </c>
      <c r="E111">
        <v>10.7</v>
      </c>
      <c r="F111">
        <v>16223.2</v>
      </c>
      <c r="G111">
        <v>1040.0999999999999</v>
      </c>
      <c r="H111">
        <v>15183.1</v>
      </c>
      <c r="I111" t="s">
        <v>70</v>
      </c>
      <c r="J111">
        <v>4.5999999999999996</v>
      </c>
      <c r="K111">
        <v>9484.33</v>
      </c>
    </row>
    <row r="112" spans="1:11">
      <c r="A112" t="s">
        <v>158</v>
      </c>
      <c r="B112" s="4">
        <v>46180</v>
      </c>
      <c r="C112" t="s">
        <v>49</v>
      </c>
      <c r="D112" t="s">
        <v>35</v>
      </c>
      <c r="E112">
        <v>12.1</v>
      </c>
      <c r="F112">
        <v>78950.600000000006</v>
      </c>
      <c r="G112">
        <v>8949.7000000000007</v>
      </c>
      <c r="H112">
        <v>70000.899999999994</v>
      </c>
      <c r="I112" t="s">
        <v>65</v>
      </c>
      <c r="J112">
        <v>6.21</v>
      </c>
      <c r="K112">
        <v>16289.33</v>
      </c>
    </row>
    <row r="113" spans="1:11">
      <c r="A113" t="s">
        <v>160</v>
      </c>
      <c r="B113" s="4">
        <v>46045</v>
      </c>
      <c r="C113" t="s">
        <v>51</v>
      </c>
      <c r="D113" t="s">
        <v>37</v>
      </c>
      <c r="E113">
        <v>5</v>
      </c>
      <c r="F113">
        <v>26179.9</v>
      </c>
      <c r="G113">
        <v>859.2</v>
      </c>
      <c r="H113">
        <v>25320.7</v>
      </c>
      <c r="I113" t="s">
        <v>67</v>
      </c>
      <c r="J113">
        <v>9.2899999999999991</v>
      </c>
      <c r="K113">
        <v>8005.67</v>
      </c>
    </row>
    <row r="114" spans="1:11">
      <c r="A114" t="s">
        <v>148</v>
      </c>
      <c r="B114" s="4">
        <v>45857</v>
      </c>
      <c r="C114" t="s">
        <v>53</v>
      </c>
      <c r="D114" t="s">
        <v>31</v>
      </c>
      <c r="E114">
        <v>3.3</v>
      </c>
      <c r="F114">
        <v>4391.8999999999996</v>
      </c>
      <c r="G114">
        <v>664.5</v>
      </c>
      <c r="H114">
        <v>3727.4</v>
      </c>
      <c r="I114" t="s">
        <v>65</v>
      </c>
      <c r="J114">
        <v>3.42</v>
      </c>
      <c r="K114">
        <v>4921.7299999999996</v>
      </c>
    </row>
    <row r="115" spans="1:11">
      <c r="A115" t="s">
        <v>161</v>
      </c>
      <c r="B115" s="4">
        <v>46110</v>
      </c>
      <c r="C115" t="s">
        <v>49</v>
      </c>
      <c r="D115" t="s">
        <v>35</v>
      </c>
      <c r="E115">
        <v>6.3</v>
      </c>
      <c r="F115">
        <v>45244.3</v>
      </c>
      <c r="G115">
        <v>4081.1</v>
      </c>
      <c r="H115">
        <v>41163.199999999997</v>
      </c>
      <c r="I115" t="s">
        <v>67</v>
      </c>
      <c r="J115">
        <v>5.68</v>
      </c>
      <c r="K115">
        <v>6153.39</v>
      </c>
    </row>
    <row r="116" spans="1:11">
      <c r="A116" t="s">
        <v>162</v>
      </c>
      <c r="B116" s="4">
        <v>46047</v>
      </c>
      <c r="C116" t="s">
        <v>53</v>
      </c>
      <c r="D116" t="s">
        <v>33</v>
      </c>
      <c r="E116">
        <v>1.5</v>
      </c>
      <c r="F116">
        <v>3493.6</v>
      </c>
      <c r="G116">
        <v>307</v>
      </c>
      <c r="H116">
        <v>3186.6</v>
      </c>
      <c r="I116" t="s">
        <v>70</v>
      </c>
      <c r="J116">
        <v>5.62</v>
      </c>
      <c r="K116">
        <v>2356.58</v>
      </c>
    </row>
    <row r="117" spans="1:11">
      <c r="A117" t="s">
        <v>112</v>
      </c>
      <c r="B117" s="4">
        <v>46156</v>
      </c>
      <c r="C117" t="s">
        <v>49</v>
      </c>
      <c r="D117" t="s">
        <v>39</v>
      </c>
      <c r="E117">
        <v>10.1</v>
      </c>
      <c r="F117">
        <v>15643.6</v>
      </c>
      <c r="G117">
        <v>762.7</v>
      </c>
      <c r="H117">
        <v>14880.9</v>
      </c>
      <c r="I117" t="s">
        <v>67</v>
      </c>
      <c r="J117">
        <v>4.22</v>
      </c>
      <c r="K117">
        <v>17353.84</v>
      </c>
    </row>
    <row r="118" spans="1:11">
      <c r="A118" t="s">
        <v>116</v>
      </c>
      <c r="B118" s="4">
        <v>45856</v>
      </c>
      <c r="C118" t="s">
        <v>47</v>
      </c>
      <c r="D118" t="s">
        <v>41</v>
      </c>
      <c r="E118">
        <v>1.4</v>
      </c>
      <c r="F118">
        <v>5757</v>
      </c>
      <c r="G118">
        <v>617.6</v>
      </c>
      <c r="H118">
        <v>5139.3999999999996</v>
      </c>
      <c r="I118" t="s">
        <v>70</v>
      </c>
      <c r="J118">
        <v>2.23</v>
      </c>
      <c r="K118">
        <v>2055.44</v>
      </c>
    </row>
    <row r="119" spans="1:11">
      <c r="A119" t="s">
        <v>163</v>
      </c>
      <c r="B119" s="4">
        <v>46046</v>
      </c>
      <c r="C119" t="s">
        <v>45</v>
      </c>
      <c r="D119" t="s">
        <v>39</v>
      </c>
      <c r="E119">
        <v>10</v>
      </c>
      <c r="F119">
        <v>14535.8</v>
      </c>
      <c r="G119">
        <v>2090.9</v>
      </c>
      <c r="H119">
        <v>12444.9</v>
      </c>
      <c r="I119" t="s">
        <v>67</v>
      </c>
      <c r="J119">
        <v>4.07</v>
      </c>
      <c r="K119">
        <v>11734.64</v>
      </c>
    </row>
    <row r="120" spans="1:11">
      <c r="A120" t="s">
        <v>154</v>
      </c>
      <c r="B120" s="4">
        <v>46138</v>
      </c>
      <c r="C120" t="s">
        <v>47</v>
      </c>
      <c r="D120" t="s">
        <v>39</v>
      </c>
      <c r="E120">
        <v>14</v>
      </c>
      <c r="F120">
        <v>21533.3</v>
      </c>
      <c r="G120">
        <v>1646.6</v>
      </c>
      <c r="H120">
        <v>19886.7</v>
      </c>
      <c r="I120" t="s">
        <v>70</v>
      </c>
      <c r="J120">
        <v>4.63</v>
      </c>
      <c r="K120">
        <v>18808.02</v>
      </c>
    </row>
    <row r="121" spans="1:11">
      <c r="A121" t="s">
        <v>164</v>
      </c>
      <c r="B121" s="4">
        <v>46029</v>
      </c>
      <c r="C121" t="s">
        <v>51</v>
      </c>
      <c r="D121" t="s">
        <v>31</v>
      </c>
      <c r="E121">
        <v>13.9</v>
      </c>
      <c r="F121">
        <v>29270.5</v>
      </c>
      <c r="G121">
        <v>1449.8</v>
      </c>
      <c r="H121">
        <v>27820.7</v>
      </c>
      <c r="I121" t="s">
        <v>77</v>
      </c>
      <c r="J121">
        <v>3.59</v>
      </c>
      <c r="K121">
        <v>13412.34</v>
      </c>
    </row>
    <row r="122" spans="1:11">
      <c r="A122" t="s">
        <v>165</v>
      </c>
      <c r="B122" s="4">
        <v>45896</v>
      </c>
      <c r="C122" t="s">
        <v>45</v>
      </c>
      <c r="D122" t="s">
        <v>35</v>
      </c>
      <c r="E122">
        <v>4.8</v>
      </c>
      <c r="F122">
        <v>45048.6</v>
      </c>
      <c r="G122">
        <v>6279.7</v>
      </c>
      <c r="H122">
        <v>38768.9</v>
      </c>
      <c r="I122" t="s">
        <v>142</v>
      </c>
      <c r="J122">
        <v>7.78</v>
      </c>
      <c r="K122">
        <v>8453.7800000000007</v>
      </c>
    </row>
    <row r="123" spans="1:11">
      <c r="A123" t="s">
        <v>166</v>
      </c>
      <c r="B123" s="4">
        <v>45907</v>
      </c>
      <c r="C123" t="s">
        <v>49</v>
      </c>
      <c r="D123" t="s">
        <v>35</v>
      </c>
      <c r="E123">
        <v>12.4</v>
      </c>
      <c r="F123">
        <v>124240.6</v>
      </c>
      <c r="G123">
        <v>17907.8</v>
      </c>
      <c r="H123">
        <v>106332.8</v>
      </c>
      <c r="I123" t="s">
        <v>65</v>
      </c>
      <c r="J123">
        <v>5.53</v>
      </c>
      <c r="K123">
        <v>21112.47</v>
      </c>
    </row>
    <row r="124" spans="1:11">
      <c r="A124" t="s">
        <v>129</v>
      </c>
      <c r="B124" s="4">
        <v>45856</v>
      </c>
      <c r="C124" t="s">
        <v>45</v>
      </c>
      <c r="D124" t="s">
        <v>31</v>
      </c>
      <c r="E124">
        <v>4.8</v>
      </c>
      <c r="F124">
        <v>9505.6</v>
      </c>
      <c r="G124">
        <v>1135.7</v>
      </c>
      <c r="H124">
        <v>8369.9</v>
      </c>
      <c r="I124" t="s">
        <v>65</v>
      </c>
      <c r="J124">
        <v>3.77</v>
      </c>
      <c r="K124">
        <v>6090.88</v>
      </c>
    </row>
    <row r="125" spans="1:11">
      <c r="A125" t="s">
        <v>167</v>
      </c>
      <c r="B125" s="4">
        <v>45911</v>
      </c>
      <c r="C125" t="s">
        <v>49</v>
      </c>
      <c r="D125" t="s">
        <v>37</v>
      </c>
      <c r="E125">
        <v>10.1</v>
      </c>
      <c r="F125">
        <v>44194.7</v>
      </c>
      <c r="G125">
        <v>4442.5</v>
      </c>
      <c r="H125">
        <v>39752.199999999997</v>
      </c>
      <c r="I125" t="s">
        <v>70</v>
      </c>
      <c r="J125">
        <v>8.18</v>
      </c>
      <c r="K125">
        <v>16461.939999999999</v>
      </c>
    </row>
    <row r="126" spans="1:11">
      <c r="A126" t="s">
        <v>168</v>
      </c>
      <c r="B126" s="4">
        <v>46058</v>
      </c>
      <c r="C126" t="s">
        <v>53</v>
      </c>
      <c r="D126" t="s">
        <v>37</v>
      </c>
      <c r="E126">
        <v>6.6</v>
      </c>
      <c r="F126">
        <v>30360.7</v>
      </c>
      <c r="G126">
        <v>4155.6000000000004</v>
      </c>
      <c r="H126">
        <v>26205.1</v>
      </c>
      <c r="I126" t="s">
        <v>65</v>
      </c>
      <c r="J126">
        <v>10.3</v>
      </c>
      <c r="K126">
        <v>6719.64</v>
      </c>
    </row>
    <row r="127" spans="1:11">
      <c r="A127" t="s">
        <v>169</v>
      </c>
      <c r="B127" s="4">
        <v>45938</v>
      </c>
      <c r="C127" t="s">
        <v>47</v>
      </c>
      <c r="D127" t="s">
        <v>41</v>
      </c>
      <c r="E127">
        <v>12.6</v>
      </c>
      <c r="F127">
        <v>94432.7</v>
      </c>
      <c r="G127">
        <v>8360.2000000000007</v>
      </c>
      <c r="H127">
        <v>86072.5</v>
      </c>
      <c r="I127" t="s">
        <v>77</v>
      </c>
      <c r="J127">
        <v>2.16</v>
      </c>
      <c r="K127">
        <v>10069.48</v>
      </c>
    </row>
    <row r="128" spans="1:11">
      <c r="A128" t="s">
        <v>84</v>
      </c>
      <c r="B128" s="4">
        <v>45897</v>
      </c>
      <c r="C128" t="s">
        <v>45</v>
      </c>
      <c r="D128" t="s">
        <v>33</v>
      </c>
      <c r="E128">
        <v>4.8</v>
      </c>
      <c r="F128">
        <v>12061.5</v>
      </c>
      <c r="G128">
        <v>1792.3</v>
      </c>
      <c r="H128">
        <v>10269.200000000001</v>
      </c>
      <c r="I128" t="s">
        <v>67</v>
      </c>
      <c r="J128">
        <v>6.86</v>
      </c>
      <c r="K128">
        <v>3145.36</v>
      </c>
    </row>
    <row r="129" spans="1:11">
      <c r="A129" t="s">
        <v>121</v>
      </c>
      <c r="B129" s="4">
        <v>46066</v>
      </c>
      <c r="C129" t="s">
        <v>45</v>
      </c>
      <c r="D129" t="s">
        <v>33</v>
      </c>
      <c r="E129">
        <v>8.4</v>
      </c>
      <c r="F129">
        <v>13240.8</v>
      </c>
      <c r="G129">
        <v>499.8</v>
      </c>
      <c r="H129">
        <v>12741</v>
      </c>
      <c r="I129" t="s">
        <v>77</v>
      </c>
      <c r="J129">
        <v>6.95</v>
      </c>
      <c r="K129">
        <v>14527.34</v>
      </c>
    </row>
    <row r="130" spans="1:11">
      <c r="A130" t="s">
        <v>170</v>
      </c>
      <c r="B130" s="4">
        <v>45849</v>
      </c>
      <c r="C130" t="s">
        <v>47</v>
      </c>
      <c r="D130" t="s">
        <v>33</v>
      </c>
      <c r="E130">
        <v>2.7</v>
      </c>
      <c r="F130">
        <v>7951.3</v>
      </c>
      <c r="G130">
        <v>1240.5999999999999</v>
      </c>
      <c r="H130">
        <v>6710.7</v>
      </c>
      <c r="I130" t="s">
        <v>67</v>
      </c>
      <c r="J130">
        <v>5.08</v>
      </c>
      <c r="K130">
        <v>1957.27</v>
      </c>
    </row>
    <row r="131" spans="1:11">
      <c r="A131" t="s">
        <v>82</v>
      </c>
      <c r="B131" s="4">
        <v>45850</v>
      </c>
      <c r="C131" t="s">
        <v>47</v>
      </c>
      <c r="D131" t="s">
        <v>37</v>
      </c>
      <c r="E131">
        <v>9.3000000000000007</v>
      </c>
      <c r="F131">
        <v>43248.1</v>
      </c>
      <c r="G131">
        <v>1413.8</v>
      </c>
      <c r="H131">
        <v>41834.300000000003</v>
      </c>
      <c r="I131" t="s">
        <v>77</v>
      </c>
      <c r="J131">
        <v>8.68</v>
      </c>
      <c r="K131">
        <v>6496.47</v>
      </c>
    </row>
    <row r="132" spans="1:11">
      <c r="A132" t="s">
        <v>85</v>
      </c>
      <c r="B132" s="4">
        <v>45992</v>
      </c>
      <c r="C132" t="s">
        <v>49</v>
      </c>
      <c r="D132" t="s">
        <v>35</v>
      </c>
      <c r="E132">
        <v>9.5</v>
      </c>
      <c r="F132">
        <v>93364.3</v>
      </c>
      <c r="G132">
        <v>7403.5</v>
      </c>
      <c r="H132">
        <v>85960.8</v>
      </c>
      <c r="I132" t="s">
        <v>70</v>
      </c>
      <c r="J132">
        <v>6.19</v>
      </c>
      <c r="K132">
        <v>6878.17</v>
      </c>
    </row>
    <row r="133" spans="1:11">
      <c r="A133" t="s">
        <v>171</v>
      </c>
      <c r="B133" s="4">
        <v>46113</v>
      </c>
      <c r="C133" t="s">
        <v>45</v>
      </c>
      <c r="D133" t="s">
        <v>31</v>
      </c>
      <c r="E133">
        <v>5.8</v>
      </c>
      <c r="F133">
        <v>7454.1</v>
      </c>
      <c r="G133">
        <v>815.1</v>
      </c>
      <c r="H133">
        <v>6639</v>
      </c>
      <c r="I133" t="s">
        <v>77</v>
      </c>
      <c r="J133">
        <v>3.7</v>
      </c>
      <c r="K133">
        <v>9408.8700000000008</v>
      </c>
    </row>
    <row r="134" spans="1:11">
      <c r="A134" t="s">
        <v>96</v>
      </c>
      <c r="B134" s="4">
        <v>45944</v>
      </c>
      <c r="C134" t="s">
        <v>53</v>
      </c>
      <c r="D134" t="s">
        <v>33</v>
      </c>
      <c r="E134">
        <v>3.6</v>
      </c>
      <c r="F134">
        <v>8468.6</v>
      </c>
      <c r="G134">
        <v>822.2</v>
      </c>
      <c r="H134">
        <v>7646.4</v>
      </c>
      <c r="I134" t="s">
        <v>67</v>
      </c>
      <c r="J134">
        <v>5.39</v>
      </c>
      <c r="K134">
        <v>6372.25</v>
      </c>
    </row>
    <row r="135" spans="1:11">
      <c r="A135" t="s">
        <v>172</v>
      </c>
      <c r="B135" s="4">
        <v>45872</v>
      </c>
      <c r="C135" t="s">
        <v>53</v>
      </c>
      <c r="D135" t="s">
        <v>37</v>
      </c>
      <c r="E135">
        <v>9.4</v>
      </c>
      <c r="F135">
        <v>45970.2</v>
      </c>
      <c r="G135">
        <v>4457.5</v>
      </c>
      <c r="H135">
        <v>41512.699999999997</v>
      </c>
      <c r="I135" t="s">
        <v>77</v>
      </c>
      <c r="J135">
        <v>10.77</v>
      </c>
      <c r="K135">
        <v>10039.64</v>
      </c>
    </row>
    <row r="136" spans="1:11">
      <c r="A136" t="s">
        <v>173</v>
      </c>
      <c r="B136" s="4">
        <v>46144</v>
      </c>
      <c r="C136" t="s">
        <v>51</v>
      </c>
      <c r="D136" t="s">
        <v>39</v>
      </c>
      <c r="E136">
        <v>1.4</v>
      </c>
      <c r="F136">
        <v>2353.3000000000002</v>
      </c>
      <c r="G136">
        <v>360</v>
      </c>
      <c r="H136">
        <v>1993.3</v>
      </c>
      <c r="I136" t="s">
        <v>67</v>
      </c>
      <c r="J136">
        <v>4.78</v>
      </c>
      <c r="K136">
        <v>2381.2399999999998</v>
      </c>
    </row>
    <row r="137" spans="1:11">
      <c r="A137" t="s">
        <v>174</v>
      </c>
      <c r="B137" s="4">
        <v>46016</v>
      </c>
      <c r="C137" t="s">
        <v>53</v>
      </c>
      <c r="D137" t="s">
        <v>39</v>
      </c>
      <c r="E137">
        <v>6.1</v>
      </c>
      <c r="F137">
        <v>12009.4</v>
      </c>
      <c r="G137">
        <v>396.6</v>
      </c>
      <c r="H137">
        <v>11612.8</v>
      </c>
      <c r="I137" t="s">
        <v>70</v>
      </c>
      <c r="J137">
        <v>4.3099999999999996</v>
      </c>
      <c r="K137">
        <v>8295.81</v>
      </c>
    </row>
    <row r="138" spans="1:11">
      <c r="A138" t="s">
        <v>175</v>
      </c>
      <c r="B138" s="4">
        <v>46092</v>
      </c>
      <c r="C138" t="s">
        <v>53</v>
      </c>
      <c r="D138" t="s">
        <v>33</v>
      </c>
      <c r="E138">
        <v>3.8</v>
      </c>
      <c r="F138">
        <v>10770.3</v>
      </c>
      <c r="G138">
        <v>421.5</v>
      </c>
      <c r="H138">
        <v>10348.799999999999</v>
      </c>
      <c r="I138" t="s">
        <v>67</v>
      </c>
      <c r="J138">
        <v>5.83</v>
      </c>
      <c r="K138">
        <v>2923.46</v>
      </c>
    </row>
    <row r="139" spans="1:11">
      <c r="A139" t="s">
        <v>176</v>
      </c>
      <c r="B139" s="4">
        <v>45948</v>
      </c>
      <c r="C139" t="s">
        <v>47</v>
      </c>
      <c r="D139" t="s">
        <v>33</v>
      </c>
      <c r="E139">
        <v>6.4</v>
      </c>
      <c r="F139">
        <v>12316.8</v>
      </c>
      <c r="G139">
        <v>1178.3</v>
      </c>
      <c r="H139">
        <v>11138.5</v>
      </c>
      <c r="I139" t="s">
        <v>77</v>
      </c>
      <c r="J139">
        <v>5.81</v>
      </c>
      <c r="K139">
        <v>9373.19</v>
      </c>
    </row>
    <row r="140" spans="1:11">
      <c r="A140" t="s">
        <v>145</v>
      </c>
      <c r="B140" s="4">
        <v>46003</v>
      </c>
      <c r="C140" t="s">
        <v>45</v>
      </c>
      <c r="D140" t="s">
        <v>39</v>
      </c>
      <c r="E140">
        <v>8.6999999999999993</v>
      </c>
      <c r="F140">
        <v>11074.4</v>
      </c>
      <c r="G140">
        <v>718</v>
      </c>
      <c r="H140">
        <v>10356.4</v>
      </c>
      <c r="I140" t="s">
        <v>77</v>
      </c>
      <c r="J140">
        <v>4.32</v>
      </c>
      <c r="K140">
        <v>11877.8</v>
      </c>
    </row>
    <row r="141" spans="1:11">
      <c r="A141" t="s">
        <v>82</v>
      </c>
      <c r="B141" s="4">
        <v>46161</v>
      </c>
      <c r="C141" t="s">
        <v>45</v>
      </c>
      <c r="D141" t="s">
        <v>31</v>
      </c>
      <c r="E141">
        <v>10.8</v>
      </c>
      <c r="F141">
        <v>17336.400000000001</v>
      </c>
      <c r="G141">
        <v>1546.3</v>
      </c>
      <c r="H141">
        <v>15790.1</v>
      </c>
      <c r="I141" t="s">
        <v>67</v>
      </c>
      <c r="J141">
        <v>2.88</v>
      </c>
      <c r="K141">
        <v>16268.95</v>
      </c>
    </row>
    <row r="142" spans="1:11">
      <c r="A142" t="s">
        <v>177</v>
      </c>
      <c r="B142" s="4">
        <v>45861</v>
      </c>
      <c r="C142" t="s">
        <v>47</v>
      </c>
      <c r="D142" t="s">
        <v>35</v>
      </c>
      <c r="E142">
        <v>14.6</v>
      </c>
      <c r="F142">
        <v>80975.399999999994</v>
      </c>
      <c r="G142">
        <v>2826.2</v>
      </c>
      <c r="H142">
        <v>78149.2</v>
      </c>
      <c r="I142" t="s">
        <v>77</v>
      </c>
      <c r="J142">
        <v>6.93</v>
      </c>
      <c r="K142">
        <v>22744.11</v>
      </c>
    </row>
    <row r="143" spans="1:11">
      <c r="A143" t="s">
        <v>178</v>
      </c>
      <c r="B143" s="4">
        <v>46047</v>
      </c>
      <c r="C143" t="s">
        <v>53</v>
      </c>
      <c r="D143" t="s">
        <v>33</v>
      </c>
      <c r="E143">
        <v>6</v>
      </c>
      <c r="F143">
        <v>12176.2</v>
      </c>
      <c r="G143">
        <v>461.7</v>
      </c>
      <c r="H143">
        <v>11714.5</v>
      </c>
      <c r="I143" t="s">
        <v>65</v>
      </c>
      <c r="J143">
        <v>6.83</v>
      </c>
      <c r="K143">
        <v>9826.02</v>
      </c>
    </row>
    <row r="144" spans="1:11">
      <c r="A144" t="s">
        <v>155</v>
      </c>
      <c r="B144" s="4">
        <v>46066</v>
      </c>
      <c r="C144" t="s">
        <v>49</v>
      </c>
      <c r="D144" t="s">
        <v>31</v>
      </c>
      <c r="E144">
        <v>9.1999999999999993</v>
      </c>
      <c r="F144">
        <v>17970.8</v>
      </c>
      <c r="G144">
        <v>2591</v>
      </c>
      <c r="H144">
        <v>15379.8</v>
      </c>
      <c r="I144" t="s">
        <v>70</v>
      </c>
      <c r="J144">
        <v>2.89</v>
      </c>
      <c r="K144">
        <v>10615.14</v>
      </c>
    </row>
    <row r="145" spans="1:11">
      <c r="A145" t="s">
        <v>175</v>
      </c>
      <c r="B145" s="4">
        <v>46055</v>
      </c>
      <c r="C145" t="s">
        <v>47</v>
      </c>
      <c r="D145" t="s">
        <v>39</v>
      </c>
      <c r="E145">
        <v>5</v>
      </c>
      <c r="F145">
        <v>5520.2</v>
      </c>
      <c r="G145">
        <v>628.70000000000005</v>
      </c>
      <c r="H145">
        <v>4891.5</v>
      </c>
      <c r="I145" t="s">
        <v>67</v>
      </c>
      <c r="J145">
        <v>5.35</v>
      </c>
      <c r="K145">
        <v>4568.6000000000004</v>
      </c>
    </row>
    <row r="146" spans="1:11">
      <c r="A146" t="s">
        <v>179</v>
      </c>
      <c r="B146" s="4">
        <v>46179</v>
      </c>
      <c r="C146" t="s">
        <v>45</v>
      </c>
      <c r="D146" t="s">
        <v>35</v>
      </c>
      <c r="E146">
        <v>9</v>
      </c>
      <c r="F146">
        <v>77618.3</v>
      </c>
      <c r="G146">
        <v>3581.8</v>
      </c>
      <c r="H146">
        <v>74036.5</v>
      </c>
      <c r="I146" t="s">
        <v>70</v>
      </c>
      <c r="J146">
        <v>6.91</v>
      </c>
      <c r="K146">
        <v>13352.58</v>
      </c>
    </row>
    <row r="147" spans="1:11">
      <c r="A147" t="s">
        <v>71</v>
      </c>
      <c r="B147" s="4">
        <v>46009</v>
      </c>
      <c r="C147" t="s">
        <v>47</v>
      </c>
      <c r="D147" t="s">
        <v>33</v>
      </c>
      <c r="E147">
        <v>3.8</v>
      </c>
      <c r="F147">
        <v>10652.3</v>
      </c>
      <c r="G147">
        <v>1497.8</v>
      </c>
      <c r="H147">
        <v>9154.5</v>
      </c>
      <c r="I147" t="s">
        <v>67</v>
      </c>
      <c r="J147">
        <v>5.0199999999999996</v>
      </c>
      <c r="K147">
        <v>5336.63</v>
      </c>
    </row>
    <row r="148" spans="1:11">
      <c r="A148" t="s">
        <v>180</v>
      </c>
      <c r="B148" s="4">
        <v>46162</v>
      </c>
      <c r="C148" t="s">
        <v>53</v>
      </c>
      <c r="D148" t="s">
        <v>37</v>
      </c>
      <c r="E148">
        <v>5.4</v>
      </c>
      <c r="F148">
        <v>33631.1</v>
      </c>
      <c r="G148">
        <v>2041.3</v>
      </c>
      <c r="H148">
        <v>31589.8</v>
      </c>
      <c r="I148" t="s">
        <v>65</v>
      </c>
      <c r="J148">
        <v>9.8699999999999992</v>
      </c>
      <c r="K148">
        <v>5298.89</v>
      </c>
    </row>
    <row r="149" spans="1:11">
      <c r="A149" t="s">
        <v>74</v>
      </c>
      <c r="B149" s="4">
        <v>45974</v>
      </c>
      <c r="C149" t="s">
        <v>47</v>
      </c>
      <c r="D149" t="s">
        <v>41</v>
      </c>
      <c r="E149">
        <v>8.1999999999999993</v>
      </c>
      <c r="F149">
        <v>35992.5</v>
      </c>
      <c r="G149">
        <v>1825.1</v>
      </c>
      <c r="H149">
        <v>34167.4</v>
      </c>
      <c r="I149" t="s">
        <v>65</v>
      </c>
      <c r="J149">
        <v>2.0499999999999998</v>
      </c>
      <c r="K149">
        <v>14258.88</v>
      </c>
    </row>
    <row r="150" spans="1:11">
      <c r="A150" t="s">
        <v>181</v>
      </c>
      <c r="B150" s="4">
        <v>46023</v>
      </c>
      <c r="C150" t="s">
        <v>45</v>
      </c>
      <c r="D150" t="s">
        <v>39</v>
      </c>
      <c r="E150">
        <v>4.2</v>
      </c>
      <c r="F150">
        <v>8151.2</v>
      </c>
      <c r="G150">
        <v>285.5</v>
      </c>
      <c r="H150">
        <v>7865.7</v>
      </c>
      <c r="I150" t="s">
        <v>142</v>
      </c>
      <c r="J150">
        <v>4.55</v>
      </c>
      <c r="K150">
        <v>3268.72</v>
      </c>
    </row>
    <row r="151" spans="1:11">
      <c r="A151" t="s">
        <v>182</v>
      </c>
      <c r="B151" s="4">
        <v>46199</v>
      </c>
      <c r="C151" t="s">
        <v>51</v>
      </c>
      <c r="D151" t="s">
        <v>39</v>
      </c>
      <c r="E151">
        <v>14.5</v>
      </c>
      <c r="F151">
        <v>27799.7</v>
      </c>
      <c r="G151">
        <v>924.4</v>
      </c>
      <c r="H151">
        <v>26875.3</v>
      </c>
      <c r="I151" t="s">
        <v>77</v>
      </c>
      <c r="J151">
        <v>4.53</v>
      </c>
      <c r="K151">
        <v>15519.39</v>
      </c>
    </row>
    <row r="152" spans="1:11">
      <c r="A152" t="s">
        <v>81</v>
      </c>
      <c r="B152" s="4">
        <v>46043</v>
      </c>
      <c r="C152" t="s">
        <v>49</v>
      </c>
      <c r="D152" t="s">
        <v>41</v>
      </c>
      <c r="E152">
        <v>4.2</v>
      </c>
      <c r="F152">
        <v>26860.400000000001</v>
      </c>
      <c r="G152">
        <v>1262.5999999999999</v>
      </c>
      <c r="H152">
        <v>25597.8</v>
      </c>
      <c r="I152" t="s">
        <v>77</v>
      </c>
      <c r="J152">
        <v>2.66</v>
      </c>
      <c r="K152">
        <v>3999.62</v>
      </c>
    </row>
    <row r="153" spans="1:11">
      <c r="A153" t="s">
        <v>183</v>
      </c>
      <c r="B153" s="4">
        <v>45887</v>
      </c>
      <c r="C153" t="s">
        <v>49</v>
      </c>
      <c r="D153" t="s">
        <v>33</v>
      </c>
      <c r="E153">
        <v>9.6</v>
      </c>
      <c r="F153">
        <v>25787.599999999999</v>
      </c>
      <c r="G153">
        <v>3799.1</v>
      </c>
      <c r="H153">
        <v>21988.5</v>
      </c>
      <c r="I153" t="s">
        <v>70</v>
      </c>
      <c r="J153">
        <v>5.32</v>
      </c>
      <c r="K153">
        <v>12991.23</v>
      </c>
    </row>
    <row r="154" spans="1:11">
      <c r="A154" t="s">
        <v>153</v>
      </c>
      <c r="B154" s="4">
        <v>46075</v>
      </c>
      <c r="C154" t="s">
        <v>49</v>
      </c>
      <c r="D154" t="s">
        <v>37</v>
      </c>
      <c r="E154">
        <v>11.4</v>
      </c>
      <c r="F154">
        <v>59893.4</v>
      </c>
      <c r="G154">
        <v>2472.9</v>
      </c>
      <c r="H154">
        <v>57420.5</v>
      </c>
      <c r="I154" t="s">
        <v>70</v>
      </c>
      <c r="J154">
        <v>10.65</v>
      </c>
      <c r="K154">
        <v>7417.85</v>
      </c>
    </row>
    <row r="155" spans="1:11">
      <c r="A155" t="s">
        <v>75</v>
      </c>
      <c r="B155" s="4">
        <v>46099</v>
      </c>
      <c r="C155" t="s">
        <v>47</v>
      </c>
      <c r="D155" t="s">
        <v>31</v>
      </c>
      <c r="E155">
        <v>9.6999999999999993</v>
      </c>
      <c r="F155">
        <v>12715.7</v>
      </c>
      <c r="G155">
        <v>1525.6</v>
      </c>
      <c r="H155">
        <v>11190.1</v>
      </c>
      <c r="I155" t="s">
        <v>77</v>
      </c>
      <c r="J155">
        <v>3.51</v>
      </c>
      <c r="K155">
        <v>7142.83</v>
      </c>
    </row>
    <row r="156" spans="1:11">
      <c r="A156" t="s">
        <v>184</v>
      </c>
      <c r="B156" s="4">
        <v>45942</v>
      </c>
      <c r="C156" t="s">
        <v>51</v>
      </c>
      <c r="D156" t="s">
        <v>37</v>
      </c>
      <c r="E156">
        <v>11.9</v>
      </c>
      <c r="F156">
        <v>71616</v>
      </c>
      <c r="G156">
        <v>4795.6000000000004</v>
      </c>
      <c r="H156">
        <v>66820.399999999994</v>
      </c>
      <c r="I156" t="s">
        <v>70</v>
      </c>
      <c r="J156">
        <v>9.26</v>
      </c>
      <c r="K156">
        <v>8469.91</v>
      </c>
    </row>
    <row r="157" spans="1:11">
      <c r="A157" t="s">
        <v>109</v>
      </c>
      <c r="B157" s="4">
        <v>45967</v>
      </c>
      <c r="C157" t="s">
        <v>53</v>
      </c>
      <c r="D157" t="s">
        <v>35</v>
      </c>
      <c r="E157">
        <v>9.4</v>
      </c>
      <c r="F157">
        <v>89698</v>
      </c>
      <c r="G157">
        <v>5654.9</v>
      </c>
      <c r="H157">
        <v>84043.1</v>
      </c>
      <c r="I157" t="s">
        <v>77</v>
      </c>
      <c r="J157">
        <v>6.2</v>
      </c>
      <c r="K157">
        <v>14599.64</v>
      </c>
    </row>
    <row r="158" spans="1:11">
      <c r="A158" t="s">
        <v>185</v>
      </c>
      <c r="B158" s="4">
        <v>45919</v>
      </c>
      <c r="C158" t="s">
        <v>51</v>
      </c>
      <c r="D158" t="s">
        <v>39</v>
      </c>
      <c r="E158">
        <v>11.9</v>
      </c>
      <c r="F158">
        <v>20102.099999999999</v>
      </c>
      <c r="G158">
        <v>1313.7</v>
      </c>
      <c r="H158">
        <v>18788.400000000001</v>
      </c>
      <c r="I158" t="s">
        <v>65</v>
      </c>
      <c r="J158">
        <v>4.76</v>
      </c>
      <c r="K158">
        <v>7766.91</v>
      </c>
    </row>
    <row r="159" spans="1:11">
      <c r="A159" t="s">
        <v>155</v>
      </c>
      <c r="B159" s="4">
        <v>46114</v>
      </c>
      <c r="C159" t="s">
        <v>49</v>
      </c>
      <c r="D159" t="s">
        <v>33</v>
      </c>
      <c r="E159">
        <v>5.2</v>
      </c>
      <c r="F159">
        <v>11478.1</v>
      </c>
      <c r="G159">
        <v>469.9</v>
      </c>
      <c r="H159">
        <v>11008.2</v>
      </c>
      <c r="I159" t="s">
        <v>67</v>
      </c>
      <c r="J159">
        <v>6.42</v>
      </c>
      <c r="K159">
        <v>6711.79</v>
      </c>
    </row>
    <row r="160" spans="1:11">
      <c r="A160" t="s">
        <v>166</v>
      </c>
      <c r="B160" s="4">
        <v>45866</v>
      </c>
      <c r="C160" t="s">
        <v>53</v>
      </c>
      <c r="D160" t="s">
        <v>31</v>
      </c>
      <c r="E160">
        <v>11.3</v>
      </c>
      <c r="F160">
        <v>19047.3</v>
      </c>
      <c r="G160">
        <v>1743.4</v>
      </c>
      <c r="H160">
        <v>17303.900000000001</v>
      </c>
      <c r="I160" t="s">
        <v>65</v>
      </c>
      <c r="J160">
        <v>3.1</v>
      </c>
      <c r="K160">
        <v>19990.650000000001</v>
      </c>
    </row>
    <row r="161" spans="1:11">
      <c r="A161" t="s">
        <v>186</v>
      </c>
      <c r="B161" s="4">
        <v>46047</v>
      </c>
      <c r="C161" t="s">
        <v>49</v>
      </c>
      <c r="D161" t="s">
        <v>41</v>
      </c>
      <c r="E161">
        <v>1.4</v>
      </c>
      <c r="F161">
        <v>6659.8</v>
      </c>
      <c r="G161">
        <v>789.7</v>
      </c>
      <c r="H161">
        <v>5870.1</v>
      </c>
      <c r="I161" t="s">
        <v>67</v>
      </c>
      <c r="J161">
        <v>2.62</v>
      </c>
      <c r="K161">
        <v>1698</v>
      </c>
    </row>
    <row r="162" spans="1:11">
      <c r="A162" t="s">
        <v>143</v>
      </c>
      <c r="B162" s="4">
        <v>46129</v>
      </c>
      <c r="C162" t="s">
        <v>51</v>
      </c>
      <c r="D162" t="s">
        <v>41</v>
      </c>
      <c r="E162">
        <v>4.0999999999999996</v>
      </c>
      <c r="F162">
        <v>16450.599999999999</v>
      </c>
      <c r="G162">
        <v>1504.4</v>
      </c>
      <c r="H162">
        <v>14946.2</v>
      </c>
      <c r="I162" t="s">
        <v>70</v>
      </c>
      <c r="J162">
        <v>2.15</v>
      </c>
      <c r="K162">
        <v>4636.3500000000004</v>
      </c>
    </row>
    <row r="163" spans="1:11">
      <c r="A163" t="s">
        <v>187</v>
      </c>
      <c r="B163" s="4">
        <v>45874</v>
      </c>
      <c r="C163" t="s">
        <v>47</v>
      </c>
      <c r="D163" t="s">
        <v>41</v>
      </c>
      <c r="E163">
        <v>12.7</v>
      </c>
      <c r="F163">
        <v>89808.1</v>
      </c>
      <c r="G163">
        <v>7087.7</v>
      </c>
      <c r="H163">
        <v>82720.399999999994</v>
      </c>
      <c r="I163" t="s">
        <v>77</v>
      </c>
      <c r="J163">
        <v>2.27</v>
      </c>
      <c r="K163">
        <v>12027.1</v>
      </c>
    </row>
    <row r="164" spans="1:11">
      <c r="A164" t="s">
        <v>64</v>
      </c>
      <c r="B164" s="4">
        <v>45886</v>
      </c>
      <c r="C164" t="s">
        <v>49</v>
      </c>
      <c r="D164" t="s">
        <v>37</v>
      </c>
      <c r="E164">
        <v>3.6</v>
      </c>
      <c r="F164">
        <v>16671.8</v>
      </c>
      <c r="G164">
        <v>736.6</v>
      </c>
      <c r="H164">
        <v>15935.2</v>
      </c>
      <c r="I164" t="s">
        <v>77</v>
      </c>
      <c r="J164">
        <v>8.41</v>
      </c>
      <c r="K164">
        <v>5242.42</v>
      </c>
    </row>
    <row r="165" spans="1:11">
      <c r="A165" t="s">
        <v>188</v>
      </c>
      <c r="B165" s="4">
        <v>46038</v>
      </c>
      <c r="C165" t="s">
        <v>49</v>
      </c>
      <c r="D165" t="s">
        <v>37</v>
      </c>
      <c r="E165">
        <v>12.1</v>
      </c>
      <c r="F165">
        <v>73158.399999999994</v>
      </c>
      <c r="G165">
        <v>6301.6</v>
      </c>
      <c r="H165">
        <v>66856.800000000003</v>
      </c>
      <c r="I165" t="s">
        <v>65</v>
      </c>
      <c r="J165">
        <v>9.93</v>
      </c>
      <c r="K165">
        <v>11018.96</v>
      </c>
    </row>
    <row r="166" spans="1:11">
      <c r="A166" t="s">
        <v>172</v>
      </c>
      <c r="B166" s="4">
        <v>45969</v>
      </c>
      <c r="C166" t="s">
        <v>49</v>
      </c>
      <c r="D166" t="s">
        <v>37</v>
      </c>
      <c r="E166">
        <v>8.5</v>
      </c>
      <c r="F166">
        <v>53925.4</v>
      </c>
      <c r="G166">
        <v>5826.4</v>
      </c>
      <c r="H166">
        <v>48099</v>
      </c>
      <c r="I166" t="s">
        <v>77</v>
      </c>
      <c r="J166">
        <v>8.07</v>
      </c>
      <c r="K166">
        <v>8154.96</v>
      </c>
    </row>
    <row r="167" spans="1:11">
      <c r="A167" t="s">
        <v>100</v>
      </c>
      <c r="B167" s="4">
        <v>45908</v>
      </c>
      <c r="C167" t="s">
        <v>45</v>
      </c>
      <c r="D167" t="s">
        <v>41</v>
      </c>
      <c r="E167">
        <v>1.9</v>
      </c>
      <c r="F167">
        <v>14216.5</v>
      </c>
      <c r="G167">
        <v>1197.3</v>
      </c>
      <c r="H167">
        <v>13019.2</v>
      </c>
      <c r="I167" t="s">
        <v>67</v>
      </c>
      <c r="J167">
        <v>2.4900000000000002</v>
      </c>
      <c r="K167">
        <v>2727.92</v>
      </c>
    </row>
    <row r="168" spans="1:11">
      <c r="A168" t="s">
        <v>189</v>
      </c>
      <c r="B168" s="4">
        <v>45928</v>
      </c>
      <c r="C168" t="s">
        <v>49</v>
      </c>
      <c r="D168" t="s">
        <v>41</v>
      </c>
      <c r="E168">
        <v>11.2</v>
      </c>
      <c r="F168">
        <v>46381.7</v>
      </c>
      <c r="G168">
        <v>1436.7</v>
      </c>
      <c r="H168">
        <v>44945</v>
      </c>
      <c r="I168" t="s">
        <v>67</v>
      </c>
      <c r="J168">
        <v>2.39</v>
      </c>
      <c r="K168">
        <v>18542.11</v>
      </c>
    </row>
    <row r="169" spans="1:11">
      <c r="A169" t="s">
        <v>102</v>
      </c>
      <c r="B169" s="4">
        <v>46000</v>
      </c>
      <c r="C169" t="s">
        <v>53</v>
      </c>
      <c r="D169" t="s">
        <v>31</v>
      </c>
      <c r="E169">
        <v>14.8</v>
      </c>
      <c r="F169">
        <v>30106.5</v>
      </c>
      <c r="G169">
        <v>1031.9000000000001</v>
      </c>
      <c r="H169">
        <v>29074.6</v>
      </c>
      <c r="I169" t="s">
        <v>70</v>
      </c>
      <c r="J169">
        <v>3.2</v>
      </c>
      <c r="K169">
        <v>17755.099999999999</v>
      </c>
    </row>
    <row r="170" spans="1:11">
      <c r="A170" t="s">
        <v>140</v>
      </c>
      <c r="B170" s="4">
        <v>46084</v>
      </c>
      <c r="C170" t="s">
        <v>53</v>
      </c>
      <c r="D170" t="s">
        <v>31</v>
      </c>
      <c r="E170">
        <v>13</v>
      </c>
      <c r="F170">
        <v>18772.400000000001</v>
      </c>
      <c r="G170">
        <v>2764.7</v>
      </c>
      <c r="H170">
        <v>16007.7</v>
      </c>
      <c r="I170" t="s">
        <v>67</v>
      </c>
      <c r="J170">
        <v>2.78</v>
      </c>
      <c r="K170">
        <v>14795.2</v>
      </c>
    </row>
    <row r="171" spans="1:11">
      <c r="A171" t="s">
        <v>135</v>
      </c>
      <c r="B171" s="4">
        <v>46106</v>
      </c>
      <c r="C171" t="s">
        <v>53</v>
      </c>
      <c r="D171" t="s">
        <v>39</v>
      </c>
      <c r="E171">
        <v>4.7</v>
      </c>
      <c r="F171">
        <v>7774</v>
      </c>
      <c r="G171">
        <v>1143.8</v>
      </c>
      <c r="H171">
        <v>6630.2</v>
      </c>
      <c r="I171" t="s">
        <v>65</v>
      </c>
      <c r="J171">
        <v>3.98</v>
      </c>
      <c r="K171">
        <v>6297.53</v>
      </c>
    </row>
    <row r="172" spans="1:11">
      <c r="A172" t="s">
        <v>173</v>
      </c>
      <c r="B172" s="4">
        <v>46050</v>
      </c>
      <c r="C172" t="s">
        <v>53</v>
      </c>
      <c r="D172" t="s">
        <v>33</v>
      </c>
      <c r="E172">
        <v>3.5</v>
      </c>
      <c r="F172">
        <v>8014.4</v>
      </c>
      <c r="G172">
        <v>1180.7</v>
      </c>
      <c r="H172">
        <v>6833.7</v>
      </c>
      <c r="I172" t="s">
        <v>67</v>
      </c>
      <c r="J172">
        <v>6.62</v>
      </c>
      <c r="K172">
        <v>3918.66</v>
      </c>
    </row>
    <row r="173" spans="1:11">
      <c r="A173" t="s">
        <v>190</v>
      </c>
      <c r="B173" s="4">
        <v>46111</v>
      </c>
      <c r="C173" t="s">
        <v>49</v>
      </c>
      <c r="D173" t="s">
        <v>41</v>
      </c>
      <c r="E173">
        <v>10.5</v>
      </c>
      <c r="F173">
        <v>45486.3</v>
      </c>
      <c r="G173">
        <v>1973.5</v>
      </c>
      <c r="H173">
        <v>43512.800000000003</v>
      </c>
      <c r="I173" t="s">
        <v>77</v>
      </c>
      <c r="J173">
        <v>2.59</v>
      </c>
      <c r="K173">
        <v>9795.58</v>
      </c>
    </row>
    <row r="174" spans="1:11">
      <c r="A174" t="s">
        <v>191</v>
      </c>
      <c r="B174" s="4">
        <v>46064</v>
      </c>
      <c r="C174" t="s">
        <v>47</v>
      </c>
      <c r="D174" t="s">
        <v>41</v>
      </c>
      <c r="E174">
        <v>1.6</v>
      </c>
      <c r="F174">
        <v>7357.3</v>
      </c>
      <c r="G174">
        <v>564.5</v>
      </c>
      <c r="H174">
        <v>6792.8</v>
      </c>
      <c r="I174" t="s">
        <v>77</v>
      </c>
      <c r="J174">
        <v>2.29</v>
      </c>
      <c r="K174">
        <v>2080.7199999999998</v>
      </c>
    </row>
    <row r="175" spans="1:11">
      <c r="A175" t="s">
        <v>192</v>
      </c>
      <c r="B175" s="4">
        <v>46064</v>
      </c>
      <c r="C175" t="s">
        <v>53</v>
      </c>
      <c r="D175" t="s">
        <v>41</v>
      </c>
      <c r="E175">
        <v>2.2999999999999998</v>
      </c>
      <c r="F175">
        <v>12044.7</v>
      </c>
      <c r="G175">
        <v>250.4</v>
      </c>
      <c r="H175">
        <v>11794.3</v>
      </c>
      <c r="I175" t="s">
        <v>65</v>
      </c>
      <c r="J175">
        <v>2.27</v>
      </c>
      <c r="K175">
        <v>3835.66</v>
      </c>
    </row>
    <row r="176" spans="1:11">
      <c r="A176" t="s">
        <v>193</v>
      </c>
      <c r="B176" s="4">
        <v>46048</v>
      </c>
      <c r="C176" t="s">
        <v>53</v>
      </c>
      <c r="D176" t="s">
        <v>39</v>
      </c>
      <c r="E176">
        <v>10.9</v>
      </c>
      <c r="F176">
        <v>13881.5</v>
      </c>
      <c r="G176">
        <v>1344.1</v>
      </c>
      <c r="H176">
        <v>12537.4</v>
      </c>
      <c r="I176" t="s">
        <v>65</v>
      </c>
      <c r="J176">
        <v>3.94</v>
      </c>
      <c r="K176">
        <v>17592.96</v>
      </c>
    </row>
    <row r="177" spans="1:11">
      <c r="A177" t="s">
        <v>117</v>
      </c>
      <c r="B177" s="4">
        <v>45985</v>
      </c>
      <c r="C177" t="s">
        <v>45</v>
      </c>
      <c r="D177" t="s">
        <v>35</v>
      </c>
      <c r="E177">
        <v>9.1</v>
      </c>
      <c r="F177">
        <v>57675.1</v>
      </c>
      <c r="G177">
        <v>3370.7</v>
      </c>
      <c r="H177">
        <v>54304.4</v>
      </c>
      <c r="I177" t="s">
        <v>70</v>
      </c>
      <c r="J177">
        <v>6.97</v>
      </c>
      <c r="K177">
        <v>15454.81</v>
      </c>
    </row>
    <row r="178" spans="1:11">
      <c r="A178" t="s">
        <v>194</v>
      </c>
      <c r="B178" s="4">
        <v>46201</v>
      </c>
      <c r="C178" t="s">
        <v>45</v>
      </c>
      <c r="D178" t="s">
        <v>31</v>
      </c>
      <c r="E178">
        <v>10.3</v>
      </c>
      <c r="F178">
        <v>23577.8</v>
      </c>
      <c r="G178">
        <v>2208.3000000000002</v>
      </c>
      <c r="H178">
        <v>21369.5</v>
      </c>
      <c r="I178" t="s">
        <v>65</v>
      </c>
      <c r="J178">
        <v>3.73</v>
      </c>
      <c r="K178">
        <v>18063.54</v>
      </c>
    </row>
    <row r="179" spans="1:11">
      <c r="A179" t="s">
        <v>195</v>
      </c>
      <c r="B179" s="4">
        <v>45937</v>
      </c>
      <c r="C179" t="s">
        <v>45</v>
      </c>
      <c r="D179" t="s">
        <v>35</v>
      </c>
      <c r="E179">
        <v>7.8</v>
      </c>
      <c r="F179">
        <v>49270.1</v>
      </c>
      <c r="G179">
        <v>7374.4</v>
      </c>
      <c r="H179">
        <v>41895.699999999997</v>
      </c>
      <c r="I179" t="s">
        <v>70</v>
      </c>
      <c r="J179">
        <v>5.99</v>
      </c>
      <c r="K179">
        <v>10596.26</v>
      </c>
    </row>
    <row r="180" spans="1:11">
      <c r="A180" t="s">
        <v>190</v>
      </c>
      <c r="B180" s="4">
        <v>45845</v>
      </c>
      <c r="C180" t="s">
        <v>53</v>
      </c>
      <c r="D180" t="s">
        <v>33</v>
      </c>
      <c r="E180">
        <v>13.7</v>
      </c>
      <c r="F180">
        <v>36176.6</v>
      </c>
      <c r="G180">
        <v>1556.4</v>
      </c>
      <c r="H180">
        <v>34620.199999999997</v>
      </c>
      <c r="I180" t="s">
        <v>65</v>
      </c>
      <c r="J180">
        <v>5.98</v>
      </c>
      <c r="K180">
        <v>23332.720000000001</v>
      </c>
    </row>
    <row r="181" spans="1:11">
      <c r="A181" t="s">
        <v>196</v>
      </c>
      <c r="B181" s="4">
        <v>46123</v>
      </c>
      <c r="C181" t="s">
        <v>53</v>
      </c>
      <c r="D181" t="s">
        <v>39</v>
      </c>
      <c r="E181">
        <v>4.8</v>
      </c>
      <c r="F181">
        <v>5718</v>
      </c>
      <c r="G181">
        <v>388.6</v>
      </c>
      <c r="H181">
        <v>5329.4</v>
      </c>
      <c r="I181" t="s">
        <v>77</v>
      </c>
      <c r="J181">
        <v>4.41</v>
      </c>
      <c r="K181">
        <v>8634.68</v>
      </c>
    </row>
    <row r="182" spans="1:11">
      <c r="A182" t="s">
        <v>167</v>
      </c>
      <c r="B182" s="4">
        <v>46060</v>
      </c>
      <c r="C182" t="s">
        <v>53</v>
      </c>
      <c r="D182" t="s">
        <v>31</v>
      </c>
      <c r="E182">
        <v>12.5</v>
      </c>
      <c r="F182">
        <v>15514.5</v>
      </c>
      <c r="G182">
        <v>1123.0999999999999</v>
      </c>
      <c r="H182">
        <v>14391.4</v>
      </c>
      <c r="I182" t="s">
        <v>67</v>
      </c>
      <c r="J182">
        <v>3.02</v>
      </c>
      <c r="K182">
        <v>16537.009999999998</v>
      </c>
    </row>
    <row r="183" spans="1:11">
      <c r="A183" t="s">
        <v>177</v>
      </c>
      <c r="B183" s="4">
        <v>46006</v>
      </c>
      <c r="C183" t="s">
        <v>49</v>
      </c>
      <c r="D183" t="s">
        <v>35</v>
      </c>
      <c r="E183">
        <v>12.2</v>
      </c>
      <c r="F183">
        <v>86598</v>
      </c>
      <c r="G183">
        <v>8908.7000000000007</v>
      </c>
      <c r="H183">
        <v>77689.3</v>
      </c>
      <c r="I183" t="s">
        <v>65</v>
      </c>
      <c r="J183">
        <v>6.23</v>
      </c>
      <c r="K183">
        <v>17111.169999999998</v>
      </c>
    </row>
    <row r="184" spans="1:11">
      <c r="A184" t="s">
        <v>72</v>
      </c>
      <c r="B184" s="4">
        <v>45854</v>
      </c>
      <c r="C184" t="s">
        <v>45</v>
      </c>
      <c r="D184" t="s">
        <v>41</v>
      </c>
      <c r="E184">
        <v>2.5</v>
      </c>
      <c r="F184">
        <v>12825.1</v>
      </c>
      <c r="G184">
        <v>1082.9000000000001</v>
      </c>
      <c r="H184">
        <v>11742.2</v>
      </c>
      <c r="I184" t="s">
        <v>65</v>
      </c>
      <c r="J184">
        <v>2.04</v>
      </c>
      <c r="K184">
        <v>4235.6000000000004</v>
      </c>
    </row>
    <row r="185" spans="1:11">
      <c r="A185" t="s">
        <v>197</v>
      </c>
      <c r="B185" s="4">
        <v>46066</v>
      </c>
      <c r="C185" t="s">
        <v>51</v>
      </c>
      <c r="D185" t="s">
        <v>33</v>
      </c>
      <c r="E185">
        <v>2.5</v>
      </c>
      <c r="F185">
        <v>7381.5</v>
      </c>
      <c r="G185">
        <v>1136.7</v>
      </c>
      <c r="H185">
        <v>6244.8</v>
      </c>
      <c r="I185" t="s">
        <v>77</v>
      </c>
      <c r="J185">
        <v>6.03</v>
      </c>
      <c r="K185">
        <v>4450.05</v>
      </c>
    </row>
    <row r="186" spans="1:11">
      <c r="A186" t="s">
        <v>115</v>
      </c>
      <c r="B186" s="4">
        <v>45893</v>
      </c>
      <c r="C186" t="s">
        <v>47</v>
      </c>
      <c r="D186" t="s">
        <v>31</v>
      </c>
      <c r="E186">
        <v>14.9</v>
      </c>
      <c r="F186">
        <v>19116</v>
      </c>
      <c r="G186">
        <v>749.5</v>
      </c>
      <c r="H186">
        <v>18366.5</v>
      </c>
      <c r="I186" t="s">
        <v>67</v>
      </c>
      <c r="J186">
        <v>3.55</v>
      </c>
      <c r="K186">
        <v>23735.65</v>
      </c>
    </row>
    <row r="187" spans="1:11">
      <c r="A187" t="s">
        <v>134</v>
      </c>
      <c r="B187" s="4">
        <v>45979</v>
      </c>
      <c r="C187" t="s">
        <v>53</v>
      </c>
      <c r="D187" t="s">
        <v>33</v>
      </c>
      <c r="E187">
        <v>6.9</v>
      </c>
      <c r="F187">
        <v>18221.3</v>
      </c>
      <c r="G187">
        <v>1133.3</v>
      </c>
      <c r="H187">
        <v>17088</v>
      </c>
      <c r="I187" t="s">
        <v>77</v>
      </c>
      <c r="J187">
        <v>6.04</v>
      </c>
      <c r="K187">
        <v>11821.29</v>
      </c>
    </row>
    <row r="188" spans="1:11">
      <c r="A188" t="s">
        <v>153</v>
      </c>
      <c r="B188" s="4">
        <v>46151</v>
      </c>
      <c r="C188" t="s">
        <v>45</v>
      </c>
      <c r="D188" t="s">
        <v>33</v>
      </c>
      <c r="E188">
        <v>3.8</v>
      </c>
      <c r="F188">
        <v>6993.7</v>
      </c>
      <c r="G188">
        <v>897.8</v>
      </c>
      <c r="H188">
        <v>6095.9</v>
      </c>
      <c r="I188" t="s">
        <v>65</v>
      </c>
      <c r="J188">
        <v>6.8</v>
      </c>
      <c r="K188">
        <v>5437.28</v>
      </c>
    </row>
    <row r="189" spans="1:11">
      <c r="A189" t="s">
        <v>185</v>
      </c>
      <c r="B189" s="4">
        <v>45930</v>
      </c>
      <c r="C189" t="s">
        <v>45</v>
      </c>
      <c r="D189" t="s">
        <v>39</v>
      </c>
      <c r="E189">
        <v>2.1</v>
      </c>
      <c r="F189">
        <v>3626.9</v>
      </c>
      <c r="G189">
        <v>249.5</v>
      </c>
      <c r="H189">
        <v>3377.4</v>
      </c>
      <c r="I189" t="s">
        <v>65</v>
      </c>
      <c r="J189">
        <v>5.26</v>
      </c>
      <c r="K189">
        <v>2414.7399999999998</v>
      </c>
    </row>
    <row r="190" spans="1:11">
      <c r="A190" t="s">
        <v>88</v>
      </c>
      <c r="B190" s="4">
        <v>45839</v>
      </c>
      <c r="C190" t="s">
        <v>53</v>
      </c>
      <c r="D190" t="s">
        <v>37</v>
      </c>
      <c r="E190">
        <v>10.4</v>
      </c>
      <c r="F190">
        <v>41386.699999999997</v>
      </c>
      <c r="G190">
        <v>5675.8</v>
      </c>
      <c r="H190">
        <v>35710.9</v>
      </c>
      <c r="I190" t="s">
        <v>65</v>
      </c>
      <c r="J190">
        <v>10.73</v>
      </c>
      <c r="K190">
        <v>14613.8</v>
      </c>
    </row>
    <row r="191" spans="1:11">
      <c r="A191" t="s">
        <v>150</v>
      </c>
      <c r="B191" s="4">
        <v>46176</v>
      </c>
      <c r="C191" t="s">
        <v>47</v>
      </c>
      <c r="D191" t="s">
        <v>41</v>
      </c>
      <c r="E191">
        <v>8.5</v>
      </c>
      <c r="F191">
        <v>35569.9</v>
      </c>
      <c r="G191">
        <v>2476</v>
      </c>
      <c r="H191">
        <v>33093.9</v>
      </c>
      <c r="I191" t="s">
        <v>77</v>
      </c>
      <c r="J191">
        <v>2.41</v>
      </c>
      <c r="K191">
        <v>9137.4500000000007</v>
      </c>
    </row>
    <row r="192" spans="1:11">
      <c r="A192" t="s">
        <v>118</v>
      </c>
      <c r="B192" s="4">
        <v>46128</v>
      </c>
      <c r="C192" t="s">
        <v>53</v>
      </c>
      <c r="D192" t="s">
        <v>35</v>
      </c>
      <c r="E192">
        <v>14.1</v>
      </c>
      <c r="F192">
        <v>102270.2</v>
      </c>
      <c r="G192">
        <v>11565.8</v>
      </c>
      <c r="H192">
        <v>90704.4</v>
      </c>
      <c r="I192" t="s">
        <v>67</v>
      </c>
      <c r="J192">
        <v>5.58</v>
      </c>
      <c r="K192">
        <v>16917.400000000001</v>
      </c>
    </row>
    <row r="193" spans="1:11">
      <c r="A193" t="s">
        <v>139</v>
      </c>
      <c r="B193" s="4">
        <v>46002</v>
      </c>
      <c r="C193" t="s">
        <v>51</v>
      </c>
      <c r="D193" t="s">
        <v>33</v>
      </c>
      <c r="E193">
        <v>4</v>
      </c>
      <c r="F193">
        <v>8578.5</v>
      </c>
      <c r="G193">
        <v>501.4</v>
      </c>
      <c r="H193">
        <v>8077.1</v>
      </c>
      <c r="I193" t="s">
        <v>65</v>
      </c>
      <c r="J193">
        <v>6.29</v>
      </c>
      <c r="K193">
        <v>4519.3</v>
      </c>
    </row>
    <row r="194" spans="1:11">
      <c r="A194" t="s">
        <v>149</v>
      </c>
      <c r="B194" s="4">
        <v>46026</v>
      </c>
      <c r="C194" t="s">
        <v>45</v>
      </c>
      <c r="D194" t="s">
        <v>33</v>
      </c>
      <c r="E194">
        <v>2.5</v>
      </c>
      <c r="F194">
        <v>5925.5</v>
      </c>
      <c r="G194">
        <v>866.9</v>
      </c>
      <c r="H194">
        <v>5058.6000000000004</v>
      </c>
      <c r="I194" t="s">
        <v>70</v>
      </c>
      <c r="J194">
        <v>6.4</v>
      </c>
      <c r="K194">
        <v>2410.33</v>
      </c>
    </row>
    <row r="195" spans="1:11">
      <c r="A195" t="s">
        <v>198</v>
      </c>
      <c r="B195" s="4">
        <v>46084</v>
      </c>
      <c r="C195" t="s">
        <v>47</v>
      </c>
      <c r="D195" t="s">
        <v>37</v>
      </c>
      <c r="E195">
        <v>13.1</v>
      </c>
      <c r="F195">
        <v>81921.8</v>
      </c>
      <c r="G195">
        <v>2906.3</v>
      </c>
      <c r="H195">
        <v>79015.5</v>
      </c>
      <c r="I195" t="s">
        <v>65</v>
      </c>
      <c r="J195">
        <v>10.14</v>
      </c>
      <c r="K195">
        <v>22148.98</v>
      </c>
    </row>
    <row r="196" spans="1:11">
      <c r="A196" t="s">
        <v>149</v>
      </c>
      <c r="B196" s="4">
        <v>46041</v>
      </c>
      <c r="C196" t="s">
        <v>53</v>
      </c>
      <c r="D196" t="s">
        <v>39</v>
      </c>
      <c r="E196">
        <v>13.7</v>
      </c>
      <c r="F196">
        <v>25724.3</v>
      </c>
      <c r="G196">
        <v>1010.4</v>
      </c>
      <c r="H196">
        <v>24713.9</v>
      </c>
      <c r="I196" t="s">
        <v>70</v>
      </c>
      <c r="J196">
        <v>4.93</v>
      </c>
      <c r="K196">
        <v>10716.98</v>
      </c>
    </row>
    <row r="197" spans="1:11">
      <c r="A197" t="s">
        <v>163</v>
      </c>
      <c r="B197" s="4">
        <v>46109</v>
      </c>
      <c r="C197" t="s">
        <v>49</v>
      </c>
      <c r="D197" t="s">
        <v>33</v>
      </c>
      <c r="E197">
        <v>2.9</v>
      </c>
      <c r="F197">
        <v>8335.5</v>
      </c>
      <c r="G197">
        <v>617</v>
      </c>
      <c r="H197">
        <v>7718.5</v>
      </c>
      <c r="I197" t="s">
        <v>77</v>
      </c>
      <c r="J197">
        <v>5.85</v>
      </c>
      <c r="K197">
        <v>5125.54</v>
      </c>
    </row>
    <row r="198" spans="1:11">
      <c r="A198" t="s">
        <v>110</v>
      </c>
      <c r="B198" s="4">
        <v>45855</v>
      </c>
      <c r="C198" t="s">
        <v>45</v>
      </c>
      <c r="D198" t="s">
        <v>31</v>
      </c>
      <c r="E198">
        <v>10.1</v>
      </c>
      <c r="F198">
        <v>15986.1</v>
      </c>
      <c r="G198">
        <v>1765.8</v>
      </c>
      <c r="H198">
        <v>14220.3</v>
      </c>
      <c r="I198" t="s">
        <v>65</v>
      </c>
      <c r="J198">
        <v>3.67</v>
      </c>
      <c r="K198">
        <v>11152.74</v>
      </c>
    </row>
    <row r="199" spans="1:11">
      <c r="A199" t="s">
        <v>109</v>
      </c>
      <c r="B199" s="4">
        <v>45930</v>
      </c>
      <c r="C199" t="s">
        <v>47</v>
      </c>
      <c r="D199" t="s">
        <v>41</v>
      </c>
      <c r="E199">
        <v>4.9000000000000004</v>
      </c>
      <c r="F199">
        <v>28105</v>
      </c>
      <c r="G199">
        <v>1074.2</v>
      </c>
      <c r="H199">
        <v>27030.799999999999</v>
      </c>
      <c r="I199" t="s">
        <v>65</v>
      </c>
      <c r="J199">
        <v>2.54</v>
      </c>
      <c r="K199">
        <v>7243.95</v>
      </c>
    </row>
    <row r="200" spans="1:11">
      <c r="A200" t="s">
        <v>98</v>
      </c>
      <c r="B200" s="4">
        <v>46029</v>
      </c>
      <c r="C200" t="s">
        <v>49</v>
      </c>
      <c r="D200" t="s">
        <v>37</v>
      </c>
      <c r="E200">
        <v>3.7</v>
      </c>
      <c r="F200">
        <v>17731.5</v>
      </c>
      <c r="G200">
        <v>1403.1</v>
      </c>
      <c r="H200">
        <v>16328.4</v>
      </c>
      <c r="I200" t="s">
        <v>70</v>
      </c>
      <c r="J200">
        <v>9.9499999999999993</v>
      </c>
      <c r="K200">
        <v>4850.9399999999996</v>
      </c>
    </row>
    <row r="201" spans="1:11">
      <c r="A201" t="s">
        <v>97</v>
      </c>
      <c r="B201" s="4">
        <v>46110</v>
      </c>
      <c r="C201" t="s">
        <v>53</v>
      </c>
      <c r="D201" t="s">
        <v>41</v>
      </c>
      <c r="E201">
        <v>2.2999999999999998</v>
      </c>
      <c r="F201">
        <v>17141</v>
      </c>
      <c r="G201">
        <v>542</v>
      </c>
      <c r="H201">
        <v>16599</v>
      </c>
      <c r="I201" t="s">
        <v>70</v>
      </c>
      <c r="J201">
        <v>2.5099999999999998</v>
      </c>
      <c r="K201">
        <v>2651.01</v>
      </c>
    </row>
    <row r="202" spans="1:11">
      <c r="A202" t="s">
        <v>101</v>
      </c>
      <c r="B202" s="4">
        <v>45873</v>
      </c>
      <c r="C202" t="s">
        <v>49</v>
      </c>
      <c r="D202" t="s">
        <v>33</v>
      </c>
      <c r="E202">
        <v>8.1999999999999993</v>
      </c>
      <c r="F202">
        <v>15579</v>
      </c>
      <c r="G202">
        <v>2413.4</v>
      </c>
      <c r="H202">
        <v>13165.6</v>
      </c>
      <c r="I202" t="s">
        <v>77</v>
      </c>
      <c r="J202">
        <v>6.11</v>
      </c>
      <c r="K202">
        <v>11901.51</v>
      </c>
    </row>
    <row r="203" spans="1:11">
      <c r="A203" t="s">
        <v>199</v>
      </c>
      <c r="B203" s="4">
        <v>45913</v>
      </c>
      <c r="C203" t="s">
        <v>51</v>
      </c>
      <c r="D203" t="s">
        <v>31</v>
      </c>
      <c r="E203">
        <v>3.9</v>
      </c>
      <c r="F203">
        <v>6034.2</v>
      </c>
      <c r="G203">
        <v>892.4</v>
      </c>
      <c r="H203">
        <v>5141.8</v>
      </c>
      <c r="I203" t="s">
        <v>77</v>
      </c>
      <c r="J203">
        <v>3.35</v>
      </c>
      <c r="K203">
        <v>5961.92</v>
      </c>
    </row>
    <row r="204" spans="1:11">
      <c r="A204" t="s">
        <v>159</v>
      </c>
      <c r="B204" s="4">
        <v>45945</v>
      </c>
      <c r="C204" t="s">
        <v>45</v>
      </c>
      <c r="D204" t="s">
        <v>39</v>
      </c>
      <c r="E204">
        <v>7.5</v>
      </c>
      <c r="F204">
        <v>13471</v>
      </c>
      <c r="G204">
        <v>1830.8</v>
      </c>
      <c r="H204">
        <v>11640.2</v>
      </c>
      <c r="I204" t="s">
        <v>67</v>
      </c>
      <c r="J204">
        <v>5.0999999999999996</v>
      </c>
      <c r="K204">
        <v>10699.31</v>
      </c>
    </row>
    <row r="205" spans="1:11">
      <c r="A205" t="s">
        <v>200</v>
      </c>
      <c r="B205" s="4">
        <v>46011</v>
      </c>
      <c r="C205" t="s">
        <v>53</v>
      </c>
      <c r="D205" t="s">
        <v>31</v>
      </c>
      <c r="E205">
        <v>7.2</v>
      </c>
      <c r="F205">
        <v>8889.4</v>
      </c>
      <c r="G205">
        <v>771.4</v>
      </c>
      <c r="H205">
        <v>8118</v>
      </c>
      <c r="I205" t="s">
        <v>77</v>
      </c>
      <c r="J205">
        <v>3.66</v>
      </c>
      <c r="K205">
        <v>11598.74</v>
      </c>
    </row>
    <row r="206" spans="1:11">
      <c r="A206" t="s">
        <v>201</v>
      </c>
      <c r="B206" s="4">
        <v>46074</v>
      </c>
      <c r="C206" t="s">
        <v>51</v>
      </c>
      <c r="D206" t="s">
        <v>33</v>
      </c>
      <c r="E206">
        <v>12.3</v>
      </c>
      <c r="F206">
        <v>24870.1</v>
      </c>
      <c r="G206">
        <v>1346.9</v>
      </c>
      <c r="H206">
        <v>23523.200000000001</v>
      </c>
      <c r="I206" t="s">
        <v>77</v>
      </c>
      <c r="J206">
        <v>6.62</v>
      </c>
      <c r="K206">
        <v>20393.63</v>
      </c>
    </row>
    <row r="207" spans="1:11">
      <c r="A207" t="s">
        <v>152</v>
      </c>
      <c r="B207" s="4">
        <v>45982</v>
      </c>
      <c r="C207" t="s">
        <v>45</v>
      </c>
      <c r="D207" t="s">
        <v>35</v>
      </c>
      <c r="E207">
        <v>10.8</v>
      </c>
      <c r="F207">
        <v>72230.100000000006</v>
      </c>
      <c r="G207">
        <v>2029.9</v>
      </c>
      <c r="H207">
        <v>70200.2</v>
      </c>
      <c r="I207" t="s">
        <v>65</v>
      </c>
      <c r="J207">
        <v>6.8</v>
      </c>
      <c r="K207">
        <v>10867.51</v>
      </c>
    </row>
    <row r="208" spans="1:11">
      <c r="A208" t="s">
        <v>181</v>
      </c>
      <c r="B208" s="4">
        <v>46070</v>
      </c>
      <c r="C208" t="s">
        <v>45</v>
      </c>
      <c r="D208" t="s">
        <v>41</v>
      </c>
      <c r="E208">
        <v>5.7</v>
      </c>
      <c r="F208">
        <v>34684.300000000003</v>
      </c>
      <c r="G208">
        <v>5406.4</v>
      </c>
      <c r="H208">
        <v>29277.9</v>
      </c>
      <c r="I208" t="s">
        <v>67</v>
      </c>
      <c r="J208">
        <v>2.85</v>
      </c>
      <c r="K208">
        <v>7065.25</v>
      </c>
    </row>
    <row r="209" spans="1:11">
      <c r="A209" t="s">
        <v>202</v>
      </c>
      <c r="B209" s="4">
        <v>46135</v>
      </c>
      <c r="C209" t="s">
        <v>53</v>
      </c>
      <c r="D209" t="s">
        <v>39</v>
      </c>
      <c r="E209">
        <v>5.6</v>
      </c>
      <c r="F209">
        <v>7716.5</v>
      </c>
      <c r="G209">
        <v>975.1</v>
      </c>
      <c r="H209">
        <v>6741.4</v>
      </c>
      <c r="I209" t="s">
        <v>77</v>
      </c>
      <c r="J209">
        <v>4.33</v>
      </c>
      <c r="K209">
        <v>3665.21</v>
      </c>
    </row>
    <row r="210" spans="1:11">
      <c r="A210" t="s">
        <v>203</v>
      </c>
      <c r="B210" s="4">
        <v>46059</v>
      </c>
      <c r="C210" t="s">
        <v>51</v>
      </c>
      <c r="D210" t="s">
        <v>37</v>
      </c>
      <c r="E210">
        <v>4.5999999999999996</v>
      </c>
      <c r="F210">
        <v>28169.5</v>
      </c>
      <c r="G210">
        <v>3717.5</v>
      </c>
      <c r="H210">
        <v>24452</v>
      </c>
      <c r="I210" t="s">
        <v>70</v>
      </c>
      <c r="J210">
        <v>8.2899999999999991</v>
      </c>
      <c r="K210">
        <v>8261.2999999999993</v>
      </c>
    </row>
    <row r="211" spans="1:11">
      <c r="A211" t="s">
        <v>185</v>
      </c>
      <c r="B211" s="4">
        <v>45878</v>
      </c>
      <c r="C211" t="s">
        <v>47</v>
      </c>
      <c r="D211" t="s">
        <v>35</v>
      </c>
      <c r="E211">
        <v>5.9</v>
      </c>
      <c r="F211">
        <v>47879.3</v>
      </c>
      <c r="G211">
        <v>3954.1</v>
      </c>
      <c r="H211">
        <v>43925.2</v>
      </c>
      <c r="I211" t="s">
        <v>65</v>
      </c>
      <c r="J211">
        <v>7.74</v>
      </c>
      <c r="K211">
        <v>4771.38</v>
      </c>
    </row>
    <row r="212" spans="1:11">
      <c r="A212" t="s">
        <v>151</v>
      </c>
      <c r="B212" s="4">
        <v>45899</v>
      </c>
      <c r="C212" t="s">
        <v>53</v>
      </c>
      <c r="D212" t="s">
        <v>39</v>
      </c>
      <c r="E212">
        <v>6</v>
      </c>
      <c r="F212">
        <v>10857.9</v>
      </c>
      <c r="G212">
        <v>923.5</v>
      </c>
      <c r="H212">
        <v>9934.4</v>
      </c>
      <c r="I212" t="s">
        <v>67</v>
      </c>
      <c r="J212">
        <v>4.51</v>
      </c>
      <c r="K212">
        <v>5479.79</v>
      </c>
    </row>
    <row r="213" spans="1:11">
      <c r="A213" t="s">
        <v>197</v>
      </c>
      <c r="B213" s="4">
        <v>45932</v>
      </c>
      <c r="C213" t="s">
        <v>45</v>
      </c>
      <c r="D213" t="s">
        <v>31</v>
      </c>
      <c r="E213">
        <v>4.5999999999999996</v>
      </c>
      <c r="F213">
        <v>8429.5</v>
      </c>
      <c r="G213">
        <v>723.4</v>
      </c>
      <c r="H213">
        <v>7706.1</v>
      </c>
      <c r="I213" t="s">
        <v>67</v>
      </c>
      <c r="J213">
        <v>2.74</v>
      </c>
      <c r="K213">
        <v>4928.9399999999996</v>
      </c>
    </row>
    <row r="214" spans="1:11">
      <c r="A214" t="s">
        <v>89</v>
      </c>
      <c r="B214" s="4">
        <v>46079</v>
      </c>
      <c r="C214" t="s">
        <v>51</v>
      </c>
      <c r="D214" t="s">
        <v>33</v>
      </c>
      <c r="E214">
        <v>15</v>
      </c>
      <c r="F214">
        <v>42073.9</v>
      </c>
      <c r="G214">
        <v>5835.1</v>
      </c>
      <c r="H214">
        <v>36238.800000000003</v>
      </c>
      <c r="I214" t="s">
        <v>67</v>
      </c>
      <c r="J214">
        <v>6.5</v>
      </c>
      <c r="K214">
        <v>24259</v>
      </c>
    </row>
    <row r="215" spans="1:11">
      <c r="A215" t="s">
        <v>204</v>
      </c>
      <c r="B215" s="4">
        <v>45889</v>
      </c>
      <c r="C215" t="s">
        <v>45</v>
      </c>
      <c r="D215" t="s">
        <v>39</v>
      </c>
      <c r="E215">
        <v>8.3000000000000007</v>
      </c>
      <c r="F215">
        <v>12917.2</v>
      </c>
      <c r="G215">
        <v>349</v>
      </c>
      <c r="H215">
        <v>12568.2</v>
      </c>
      <c r="I215" t="s">
        <v>77</v>
      </c>
      <c r="J215">
        <v>5.04</v>
      </c>
      <c r="K215">
        <v>6372.41</v>
      </c>
    </row>
    <row r="216" spans="1:11">
      <c r="A216" t="s">
        <v>175</v>
      </c>
      <c r="B216" s="4">
        <v>46158</v>
      </c>
      <c r="C216" t="s">
        <v>45</v>
      </c>
      <c r="D216" t="s">
        <v>37</v>
      </c>
      <c r="E216">
        <v>10.8</v>
      </c>
      <c r="F216">
        <v>66981.3</v>
      </c>
      <c r="G216">
        <v>7236.7</v>
      </c>
      <c r="H216">
        <v>59744.6</v>
      </c>
      <c r="I216" t="s">
        <v>67</v>
      </c>
      <c r="J216">
        <v>7.72</v>
      </c>
      <c r="K216">
        <v>16142.19</v>
      </c>
    </row>
    <row r="217" spans="1:11">
      <c r="A217" t="s">
        <v>205</v>
      </c>
      <c r="B217" s="4">
        <v>45881</v>
      </c>
      <c r="C217" t="s">
        <v>49</v>
      </c>
      <c r="D217" t="s">
        <v>39</v>
      </c>
      <c r="E217">
        <v>10</v>
      </c>
      <c r="F217">
        <v>14455.5</v>
      </c>
      <c r="G217">
        <v>1619.4</v>
      </c>
      <c r="H217">
        <v>12836.1</v>
      </c>
      <c r="I217" t="s">
        <v>65</v>
      </c>
      <c r="J217">
        <v>3.98</v>
      </c>
      <c r="K217">
        <v>13591.86</v>
      </c>
    </row>
    <row r="218" spans="1:11">
      <c r="A218" t="s">
        <v>206</v>
      </c>
      <c r="B218" s="4">
        <v>46086</v>
      </c>
      <c r="C218" t="s">
        <v>45</v>
      </c>
      <c r="D218" t="s">
        <v>37</v>
      </c>
      <c r="E218">
        <v>13.6</v>
      </c>
      <c r="F218">
        <v>58261.1</v>
      </c>
      <c r="G218">
        <v>4618.5</v>
      </c>
      <c r="H218">
        <v>53642.6</v>
      </c>
      <c r="I218" t="s">
        <v>77</v>
      </c>
      <c r="J218">
        <v>10.41</v>
      </c>
      <c r="K218">
        <v>23921.18</v>
      </c>
    </row>
    <row r="219" spans="1:11">
      <c r="A219" t="s">
        <v>207</v>
      </c>
      <c r="B219" s="4">
        <v>46066</v>
      </c>
      <c r="C219" t="s">
        <v>51</v>
      </c>
      <c r="D219" t="s">
        <v>35</v>
      </c>
      <c r="E219">
        <v>12.5</v>
      </c>
      <c r="F219">
        <v>98698</v>
      </c>
      <c r="G219">
        <v>12500.3</v>
      </c>
      <c r="H219">
        <v>86197.7</v>
      </c>
      <c r="I219" t="s">
        <v>70</v>
      </c>
      <c r="J219">
        <v>7.56</v>
      </c>
      <c r="K219">
        <v>15512.52</v>
      </c>
    </row>
    <row r="220" spans="1:11">
      <c r="A220" t="s">
        <v>151</v>
      </c>
      <c r="B220" s="4">
        <v>46198</v>
      </c>
      <c r="C220" t="s">
        <v>49</v>
      </c>
      <c r="D220" t="s">
        <v>39</v>
      </c>
      <c r="E220">
        <v>14.3</v>
      </c>
      <c r="F220">
        <v>15693.2</v>
      </c>
      <c r="G220">
        <v>2020.8</v>
      </c>
      <c r="H220">
        <v>13672.4</v>
      </c>
      <c r="I220" t="s">
        <v>70</v>
      </c>
      <c r="J220">
        <v>4.59</v>
      </c>
      <c r="K220">
        <v>19102.72</v>
      </c>
    </row>
    <row r="221" spans="1:11">
      <c r="A221" t="s">
        <v>208</v>
      </c>
      <c r="B221" s="4">
        <v>46156</v>
      </c>
      <c r="C221" t="s">
        <v>53</v>
      </c>
      <c r="D221" t="s">
        <v>31</v>
      </c>
      <c r="E221">
        <v>9.3000000000000007</v>
      </c>
      <c r="F221">
        <v>14504.2</v>
      </c>
      <c r="G221">
        <v>1481.1</v>
      </c>
      <c r="H221">
        <v>13023.1</v>
      </c>
      <c r="I221" t="s">
        <v>77</v>
      </c>
      <c r="J221">
        <v>2.95</v>
      </c>
      <c r="K221">
        <v>8256.65</v>
      </c>
    </row>
    <row r="222" spans="1:11">
      <c r="A222" t="s">
        <v>163</v>
      </c>
      <c r="B222" s="4">
        <v>46168</v>
      </c>
      <c r="C222" t="s">
        <v>49</v>
      </c>
      <c r="D222" t="s">
        <v>37</v>
      </c>
      <c r="E222">
        <v>10.1</v>
      </c>
      <c r="F222">
        <v>42972.800000000003</v>
      </c>
      <c r="G222">
        <v>1992.8</v>
      </c>
      <c r="H222">
        <v>40980</v>
      </c>
      <c r="I222" t="s">
        <v>77</v>
      </c>
      <c r="J222">
        <v>9.69</v>
      </c>
      <c r="K222">
        <v>17031.990000000002</v>
      </c>
    </row>
    <row r="223" spans="1:11">
      <c r="A223" t="s">
        <v>95</v>
      </c>
      <c r="B223" s="4">
        <v>45983</v>
      </c>
      <c r="C223" t="s">
        <v>51</v>
      </c>
      <c r="D223" t="s">
        <v>41</v>
      </c>
      <c r="E223">
        <v>1.3</v>
      </c>
      <c r="F223">
        <v>5799.5</v>
      </c>
      <c r="G223">
        <v>397.9</v>
      </c>
      <c r="H223">
        <v>5401.6</v>
      </c>
      <c r="I223" t="s">
        <v>77</v>
      </c>
      <c r="J223">
        <v>2.17</v>
      </c>
      <c r="K223">
        <v>1865.54</v>
      </c>
    </row>
    <row r="224" spans="1:11">
      <c r="A224" t="s">
        <v>125</v>
      </c>
      <c r="B224" s="4">
        <v>46009</v>
      </c>
      <c r="C224" t="s">
        <v>53</v>
      </c>
      <c r="D224" t="s">
        <v>35</v>
      </c>
      <c r="E224">
        <v>14</v>
      </c>
      <c r="F224">
        <v>81040.899999999994</v>
      </c>
      <c r="G224">
        <v>8743.4</v>
      </c>
      <c r="H224">
        <v>72297.5</v>
      </c>
      <c r="I224" t="s">
        <v>70</v>
      </c>
      <c r="J224">
        <v>6.63</v>
      </c>
      <c r="K224">
        <v>16910.05</v>
      </c>
    </row>
    <row r="225" spans="1:11">
      <c r="A225" t="s">
        <v>95</v>
      </c>
      <c r="B225" s="4">
        <v>45856</v>
      </c>
      <c r="C225" t="s">
        <v>47</v>
      </c>
      <c r="D225" t="s">
        <v>39</v>
      </c>
      <c r="E225">
        <v>5.9</v>
      </c>
      <c r="F225">
        <v>7021.4</v>
      </c>
      <c r="G225">
        <v>298.89999999999998</v>
      </c>
      <c r="H225">
        <v>6722.5</v>
      </c>
      <c r="I225" t="s">
        <v>67</v>
      </c>
      <c r="J225">
        <v>5.25</v>
      </c>
      <c r="K225">
        <v>9655.15</v>
      </c>
    </row>
    <row r="226" spans="1:11">
      <c r="A226" t="s">
        <v>104</v>
      </c>
      <c r="B226" s="4">
        <v>46087</v>
      </c>
      <c r="C226" t="s">
        <v>51</v>
      </c>
      <c r="D226" t="s">
        <v>37</v>
      </c>
      <c r="E226">
        <v>7.3</v>
      </c>
      <c r="F226">
        <v>24529.4</v>
      </c>
      <c r="G226">
        <v>675.6</v>
      </c>
      <c r="H226">
        <v>23853.8</v>
      </c>
      <c r="I226" t="s">
        <v>67</v>
      </c>
      <c r="J226">
        <v>8.93</v>
      </c>
      <c r="K226">
        <v>9660.34</v>
      </c>
    </row>
    <row r="227" spans="1:11">
      <c r="A227" t="s">
        <v>182</v>
      </c>
      <c r="B227" s="4">
        <v>46163</v>
      </c>
      <c r="C227" t="s">
        <v>51</v>
      </c>
      <c r="D227" t="s">
        <v>37</v>
      </c>
      <c r="E227">
        <v>5.8</v>
      </c>
      <c r="F227">
        <v>20918.099999999999</v>
      </c>
      <c r="G227">
        <v>2874.7</v>
      </c>
      <c r="H227">
        <v>18043.400000000001</v>
      </c>
      <c r="I227" t="s">
        <v>67</v>
      </c>
      <c r="J227">
        <v>7.89</v>
      </c>
      <c r="K227">
        <v>4472.6899999999996</v>
      </c>
    </row>
    <row r="228" spans="1:11">
      <c r="A228" t="s">
        <v>127</v>
      </c>
      <c r="B228" s="4">
        <v>45923</v>
      </c>
      <c r="C228" t="s">
        <v>53</v>
      </c>
      <c r="D228" t="s">
        <v>33</v>
      </c>
      <c r="E228">
        <v>2</v>
      </c>
      <c r="F228">
        <v>4322.8999999999996</v>
      </c>
      <c r="G228">
        <v>625.70000000000005</v>
      </c>
      <c r="H228">
        <v>3697.2</v>
      </c>
      <c r="I228" t="s">
        <v>65</v>
      </c>
      <c r="J228">
        <v>6.72</v>
      </c>
      <c r="K228">
        <v>1521.92</v>
      </c>
    </row>
    <row r="229" spans="1:11">
      <c r="A229" t="s">
        <v>209</v>
      </c>
      <c r="B229" s="4">
        <v>46021</v>
      </c>
      <c r="C229" t="s">
        <v>45</v>
      </c>
      <c r="D229" t="s">
        <v>33</v>
      </c>
      <c r="E229">
        <v>8.5</v>
      </c>
      <c r="F229">
        <v>17422.099999999999</v>
      </c>
      <c r="G229">
        <v>1307.2</v>
      </c>
      <c r="H229">
        <v>16114.9</v>
      </c>
      <c r="I229" t="s">
        <v>65</v>
      </c>
      <c r="J229">
        <v>6.01</v>
      </c>
      <c r="K229">
        <v>6545.39</v>
      </c>
    </row>
    <row r="230" spans="1:11">
      <c r="A230" t="s">
        <v>72</v>
      </c>
      <c r="B230" s="4">
        <v>46069</v>
      </c>
      <c r="C230" t="s">
        <v>49</v>
      </c>
      <c r="D230" t="s">
        <v>31</v>
      </c>
      <c r="E230">
        <v>13.2</v>
      </c>
      <c r="F230">
        <v>17045.599999999999</v>
      </c>
      <c r="G230">
        <v>1886.9</v>
      </c>
      <c r="H230">
        <v>15158.7</v>
      </c>
      <c r="I230" t="s">
        <v>67</v>
      </c>
      <c r="J230">
        <v>3.56</v>
      </c>
      <c r="K230">
        <v>12215.31</v>
      </c>
    </row>
    <row r="231" spans="1:11">
      <c r="A231" t="s">
        <v>161</v>
      </c>
      <c r="B231" s="4">
        <v>45865</v>
      </c>
      <c r="C231" t="s">
        <v>51</v>
      </c>
      <c r="D231" t="s">
        <v>41</v>
      </c>
      <c r="E231">
        <v>13</v>
      </c>
      <c r="F231">
        <v>74797.399999999994</v>
      </c>
      <c r="G231">
        <v>6185.5</v>
      </c>
      <c r="H231">
        <v>68611.899999999994</v>
      </c>
      <c r="I231" t="s">
        <v>77</v>
      </c>
      <c r="J231">
        <v>2.61</v>
      </c>
      <c r="K231">
        <v>9877.5</v>
      </c>
    </row>
    <row r="232" spans="1:11">
      <c r="A232" t="s">
        <v>90</v>
      </c>
      <c r="B232" s="4">
        <v>46088</v>
      </c>
      <c r="C232" t="s">
        <v>47</v>
      </c>
      <c r="D232" t="s">
        <v>31</v>
      </c>
      <c r="E232">
        <v>14.3</v>
      </c>
      <c r="F232">
        <v>33232.199999999997</v>
      </c>
      <c r="G232">
        <v>3761</v>
      </c>
      <c r="H232">
        <v>29471.200000000001</v>
      </c>
      <c r="I232" t="s">
        <v>77</v>
      </c>
      <c r="J232">
        <v>3.64</v>
      </c>
      <c r="K232">
        <v>16186.2</v>
      </c>
    </row>
    <row r="233" spans="1:11">
      <c r="A233" t="s">
        <v>159</v>
      </c>
      <c r="B233" s="4">
        <v>46074</v>
      </c>
      <c r="C233" t="s">
        <v>53</v>
      </c>
      <c r="D233" t="s">
        <v>41</v>
      </c>
      <c r="E233">
        <v>6.5</v>
      </c>
      <c r="F233">
        <v>41653.199999999997</v>
      </c>
      <c r="G233">
        <v>5950.2</v>
      </c>
      <c r="H233">
        <v>35703</v>
      </c>
      <c r="I233" t="s">
        <v>70</v>
      </c>
      <c r="J233">
        <v>2.72</v>
      </c>
      <c r="K233">
        <v>6667.76</v>
      </c>
    </row>
    <row r="234" spans="1:11">
      <c r="A234" t="s">
        <v>74</v>
      </c>
      <c r="B234" s="4">
        <v>45967</v>
      </c>
      <c r="C234" t="s">
        <v>53</v>
      </c>
      <c r="D234" t="s">
        <v>39</v>
      </c>
      <c r="E234">
        <v>9.6</v>
      </c>
      <c r="F234">
        <v>13948.6</v>
      </c>
      <c r="G234">
        <v>279</v>
      </c>
      <c r="H234">
        <v>13669.6</v>
      </c>
      <c r="I234" t="s">
        <v>67</v>
      </c>
      <c r="J234">
        <v>4.1500000000000004</v>
      </c>
      <c r="K234">
        <v>7906.71</v>
      </c>
    </row>
    <row r="235" spans="1:11">
      <c r="A235" t="s">
        <v>210</v>
      </c>
      <c r="B235" s="4">
        <v>46032</v>
      </c>
      <c r="C235" t="s">
        <v>47</v>
      </c>
      <c r="D235" t="s">
        <v>37</v>
      </c>
      <c r="E235">
        <v>14.1</v>
      </c>
      <c r="F235">
        <v>74796.600000000006</v>
      </c>
      <c r="G235">
        <v>10325.4</v>
      </c>
      <c r="H235">
        <v>64471.199999999997</v>
      </c>
      <c r="I235" t="s">
        <v>70</v>
      </c>
      <c r="J235">
        <v>10.23</v>
      </c>
      <c r="K235">
        <v>16731.810000000001</v>
      </c>
    </row>
    <row r="236" spans="1:11">
      <c r="A236" t="s">
        <v>140</v>
      </c>
      <c r="B236" s="4">
        <v>46115</v>
      </c>
      <c r="C236" t="s">
        <v>45</v>
      </c>
      <c r="D236" t="s">
        <v>37</v>
      </c>
      <c r="E236">
        <v>14.1</v>
      </c>
      <c r="F236">
        <v>50531.6</v>
      </c>
      <c r="G236">
        <v>3294.8</v>
      </c>
      <c r="H236">
        <v>47236.800000000003</v>
      </c>
      <c r="I236" t="s">
        <v>77</v>
      </c>
      <c r="J236">
        <v>8.44</v>
      </c>
      <c r="K236">
        <v>19824.54</v>
      </c>
    </row>
    <row r="237" spans="1:11">
      <c r="A237" t="s">
        <v>211</v>
      </c>
      <c r="B237" s="4">
        <v>46141</v>
      </c>
      <c r="C237" t="s">
        <v>45</v>
      </c>
      <c r="D237" t="s">
        <v>37</v>
      </c>
      <c r="E237">
        <v>5.6</v>
      </c>
      <c r="F237">
        <v>27440.799999999999</v>
      </c>
      <c r="G237">
        <v>1919.9</v>
      </c>
      <c r="H237">
        <v>25520.9</v>
      </c>
      <c r="I237" t="s">
        <v>65</v>
      </c>
      <c r="J237">
        <v>7.98</v>
      </c>
      <c r="K237">
        <v>9679.98</v>
      </c>
    </row>
    <row r="238" spans="1:11">
      <c r="A238" t="s">
        <v>212</v>
      </c>
      <c r="B238" s="4">
        <v>45994</v>
      </c>
      <c r="C238" t="s">
        <v>53</v>
      </c>
      <c r="D238" t="s">
        <v>37</v>
      </c>
      <c r="E238">
        <v>3.2</v>
      </c>
      <c r="F238">
        <v>20272.7</v>
      </c>
      <c r="G238">
        <v>456.5</v>
      </c>
      <c r="H238">
        <v>19816.2</v>
      </c>
      <c r="I238" t="s">
        <v>67</v>
      </c>
      <c r="J238">
        <v>8.41</v>
      </c>
      <c r="K238">
        <v>3209.57</v>
      </c>
    </row>
    <row r="239" spans="1:11">
      <c r="A239" t="s">
        <v>83</v>
      </c>
      <c r="B239" s="4">
        <v>46003</v>
      </c>
      <c r="C239" t="s">
        <v>47</v>
      </c>
      <c r="D239" t="s">
        <v>35</v>
      </c>
      <c r="E239">
        <v>9.1999999999999993</v>
      </c>
      <c r="F239">
        <v>88979.8</v>
      </c>
      <c r="G239">
        <v>9037</v>
      </c>
      <c r="H239">
        <v>79942.8</v>
      </c>
      <c r="I239" t="s">
        <v>67</v>
      </c>
      <c r="J239">
        <v>6.56</v>
      </c>
      <c r="K239">
        <v>10371.91</v>
      </c>
    </row>
    <row r="240" spans="1:11">
      <c r="A240" t="s">
        <v>213</v>
      </c>
      <c r="B240" s="4">
        <v>46060</v>
      </c>
      <c r="C240" t="s">
        <v>47</v>
      </c>
      <c r="D240" t="s">
        <v>33</v>
      </c>
      <c r="E240">
        <v>3.9</v>
      </c>
      <c r="F240">
        <v>10155</v>
      </c>
      <c r="G240">
        <v>1249.2</v>
      </c>
      <c r="H240">
        <v>8905.7999999999993</v>
      </c>
      <c r="I240" t="s">
        <v>70</v>
      </c>
      <c r="J240">
        <v>6.47</v>
      </c>
      <c r="K240">
        <v>5959.01</v>
      </c>
    </row>
    <row r="241" spans="1:11">
      <c r="A241" t="s">
        <v>186</v>
      </c>
      <c r="B241" s="4">
        <v>46134</v>
      </c>
      <c r="C241" t="s">
        <v>45</v>
      </c>
      <c r="D241" t="s">
        <v>33</v>
      </c>
      <c r="E241">
        <v>12.8</v>
      </c>
      <c r="F241">
        <v>22156.6</v>
      </c>
      <c r="G241">
        <v>1404.3</v>
      </c>
      <c r="H241">
        <v>20752.3</v>
      </c>
      <c r="I241" t="s">
        <v>70</v>
      </c>
      <c r="J241">
        <v>4.9400000000000004</v>
      </c>
      <c r="K241">
        <v>9630.34</v>
      </c>
    </row>
    <row r="242" spans="1:11">
      <c r="A242" t="s">
        <v>72</v>
      </c>
      <c r="B242" s="4">
        <v>46085</v>
      </c>
      <c r="C242" t="s">
        <v>49</v>
      </c>
      <c r="D242" t="s">
        <v>35</v>
      </c>
      <c r="E242">
        <v>10.9</v>
      </c>
      <c r="F242">
        <v>76626.399999999994</v>
      </c>
      <c r="G242">
        <v>12244.6</v>
      </c>
      <c r="H242">
        <v>64381.8</v>
      </c>
      <c r="I242" t="s">
        <v>67</v>
      </c>
      <c r="J242">
        <v>5.91</v>
      </c>
      <c r="K242">
        <v>16185.13</v>
      </c>
    </row>
    <row r="243" spans="1:11">
      <c r="A243" t="s">
        <v>145</v>
      </c>
      <c r="B243" s="4">
        <v>46034</v>
      </c>
      <c r="C243" t="s">
        <v>51</v>
      </c>
      <c r="D243" t="s">
        <v>37</v>
      </c>
      <c r="E243">
        <v>10.9</v>
      </c>
      <c r="F243">
        <v>35377.9</v>
      </c>
      <c r="G243">
        <v>2049.9</v>
      </c>
      <c r="H243">
        <v>33328</v>
      </c>
      <c r="I243" t="s">
        <v>70</v>
      </c>
      <c r="J243">
        <v>7.9</v>
      </c>
      <c r="K243">
        <v>17417.150000000001</v>
      </c>
    </row>
    <row r="244" spans="1:11">
      <c r="A244" t="s">
        <v>90</v>
      </c>
      <c r="B244" s="4">
        <v>46143</v>
      </c>
      <c r="C244" t="s">
        <v>45</v>
      </c>
      <c r="D244" t="s">
        <v>31</v>
      </c>
      <c r="E244">
        <v>13.8</v>
      </c>
      <c r="F244">
        <v>31728.9</v>
      </c>
      <c r="G244">
        <v>1354.9</v>
      </c>
      <c r="H244">
        <v>30374</v>
      </c>
      <c r="I244" t="s">
        <v>67</v>
      </c>
      <c r="J244">
        <v>3.37</v>
      </c>
      <c r="K244">
        <v>17145.740000000002</v>
      </c>
    </row>
    <row r="245" spans="1:11">
      <c r="A245" t="s">
        <v>130</v>
      </c>
      <c r="B245" s="4">
        <v>46180</v>
      </c>
      <c r="C245" t="s">
        <v>47</v>
      </c>
      <c r="D245" t="s">
        <v>31</v>
      </c>
      <c r="E245">
        <v>11.9</v>
      </c>
      <c r="F245">
        <v>27606.5</v>
      </c>
      <c r="G245">
        <v>3271.7</v>
      </c>
      <c r="H245">
        <v>24334.799999999999</v>
      </c>
      <c r="I245" t="s">
        <v>77</v>
      </c>
      <c r="J245">
        <v>3.15</v>
      </c>
      <c r="K245">
        <v>13471.48</v>
      </c>
    </row>
    <row r="246" spans="1:11">
      <c r="A246" t="s">
        <v>184</v>
      </c>
      <c r="B246" s="4">
        <v>45883</v>
      </c>
      <c r="C246" t="s">
        <v>49</v>
      </c>
      <c r="D246" t="s">
        <v>35</v>
      </c>
      <c r="E246">
        <v>7.6</v>
      </c>
      <c r="F246">
        <v>40733.699999999997</v>
      </c>
      <c r="G246">
        <v>2377.3000000000002</v>
      </c>
      <c r="H246">
        <v>38356.400000000001</v>
      </c>
      <c r="I246" t="s">
        <v>70</v>
      </c>
      <c r="J246">
        <v>7.18</v>
      </c>
      <c r="K246">
        <v>6309.44</v>
      </c>
    </row>
    <row r="247" spans="1:11">
      <c r="A247" t="s">
        <v>91</v>
      </c>
      <c r="B247" s="4">
        <v>45842</v>
      </c>
      <c r="C247" t="s">
        <v>51</v>
      </c>
      <c r="D247" t="s">
        <v>33</v>
      </c>
      <c r="E247">
        <v>12.8</v>
      </c>
      <c r="F247">
        <v>32939.300000000003</v>
      </c>
      <c r="G247">
        <v>4094.4</v>
      </c>
      <c r="H247">
        <v>28844.9</v>
      </c>
      <c r="I247" t="s">
        <v>77</v>
      </c>
      <c r="J247">
        <v>5.88</v>
      </c>
      <c r="K247">
        <v>19182.2</v>
      </c>
    </row>
    <row r="248" spans="1:11">
      <c r="A248" t="s">
        <v>214</v>
      </c>
      <c r="B248" s="4">
        <v>46020</v>
      </c>
      <c r="C248" t="s">
        <v>45</v>
      </c>
      <c r="D248" t="s">
        <v>31</v>
      </c>
      <c r="E248">
        <v>8.6999999999999993</v>
      </c>
      <c r="F248">
        <v>15280.1</v>
      </c>
      <c r="G248">
        <v>1535.9</v>
      </c>
      <c r="H248">
        <v>13744.2</v>
      </c>
      <c r="I248" t="s">
        <v>65</v>
      </c>
      <c r="J248">
        <v>3.32</v>
      </c>
      <c r="K248">
        <v>11269.81</v>
      </c>
    </row>
    <row r="249" spans="1:11">
      <c r="A249" t="s">
        <v>130</v>
      </c>
      <c r="B249" s="4">
        <v>45901</v>
      </c>
      <c r="C249" t="s">
        <v>53</v>
      </c>
      <c r="D249" t="s">
        <v>33</v>
      </c>
      <c r="E249">
        <v>4.7</v>
      </c>
      <c r="F249">
        <v>9376.2999999999993</v>
      </c>
      <c r="G249">
        <v>1409.6</v>
      </c>
      <c r="H249">
        <v>7966.7</v>
      </c>
      <c r="I249" t="s">
        <v>67</v>
      </c>
      <c r="J249">
        <v>5.25</v>
      </c>
      <c r="K249">
        <v>4861</v>
      </c>
    </row>
    <row r="250" spans="1:11">
      <c r="A250" t="s">
        <v>215</v>
      </c>
      <c r="B250" s="4">
        <v>45869</v>
      </c>
      <c r="C250" t="s">
        <v>45</v>
      </c>
      <c r="D250" t="s">
        <v>39</v>
      </c>
      <c r="E250">
        <v>6.4</v>
      </c>
      <c r="F250">
        <v>11518.4</v>
      </c>
      <c r="G250">
        <v>246</v>
      </c>
      <c r="H250">
        <v>11272.4</v>
      </c>
      <c r="I250" t="s">
        <v>77</v>
      </c>
      <c r="J250">
        <v>4.03</v>
      </c>
      <c r="K250">
        <v>6398</v>
      </c>
    </row>
    <row r="251" spans="1:11">
      <c r="A251" t="s">
        <v>153</v>
      </c>
      <c r="B251" s="4">
        <v>46187</v>
      </c>
      <c r="C251" t="s">
        <v>53</v>
      </c>
      <c r="D251" t="s">
        <v>41</v>
      </c>
      <c r="E251">
        <v>12.6</v>
      </c>
      <c r="F251">
        <v>100047.9</v>
      </c>
      <c r="G251">
        <v>8136.3</v>
      </c>
      <c r="H251">
        <v>91911.6</v>
      </c>
      <c r="I251" t="s">
        <v>65</v>
      </c>
      <c r="J251">
        <v>2.4300000000000002</v>
      </c>
      <c r="K251">
        <v>19189.03</v>
      </c>
    </row>
    <row r="252" spans="1:11">
      <c r="A252" t="s">
        <v>216</v>
      </c>
      <c r="B252" s="4">
        <v>45976</v>
      </c>
      <c r="C252" t="s">
        <v>49</v>
      </c>
      <c r="D252" t="s">
        <v>41</v>
      </c>
      <c r="E252">
        <v>4.0999999999999996</v>
      </c>
      <c r="F252">
        <v>19305.7</v>
      </c>
      <c r="G252">
        <v>1453.3</v>
      </c>
      <c r="H252">
        <v>17852.400000000001</v>
      </c>
      <c r="I252" t="s">
        <v>65</v>
      </c>
      <c r="J252">
        <v>2.17</v>
      </c>
      <c r="K252">
        <v>5057.9399999999996</v>
      </c>
    </row>
    <row r="253" spans="1:11">
      <c r="A253" t="s">
        <v>212</v>
      </c>
      <c r="B253" s="4">
        <v>46038</v>
      </c>
      <c r="C253" t="s">
        <v>53</v>
      </c>
      <c r="D253" t="s">
        <v>41</v>
      </c>
      <c r="E253">
        <v>13.4</v>
      </c>
      <c r="F253">
        <v>90113.2</v>
      </c>
      <c r="G253">
        <v>4212.1000000000004</v>
      </c>
      <c r="H253">
        <v>85901.1</v>
      </c>
      <c r="I253" t="s">
        <v>70</v>
      </c>
      <c r="J253">
        <v>2.78</v>
      </c>
      <c r="K253">
        <v>11807.1</v>
      </c>
    </row>
    <row r="254" spans="1:11">
      <c r="A254" t="s">
        <v>140</v>
      </c>
      <c r="B254" s="4">
        <v>46135</v>
      </c>
      <c r="C254" t="s">
        <v>49</v>
      </c>
      <c r="D254" t="s">
        <v>33</v>
      </c>
      <c r="E254">
        <v>9.9</v>
      </c>
      <c r="F254">
        <v>16746.2</v>
      </c>
      <c r="G254">
        <v>2635.9</v>
      </c>
      <c r="H254">
        <v>14110.3</v>
      </c>
      <c r="I254" t="s">
        <v>77</v>
      </c>
      <c r="J254">
        <v>6.34</v>
      </c>
      <c r="K254">
        <v>10109.200000000001</v>
      </c>
    </row>
    <row r="255" spans="1:11">
      <c r="A255" t="s">
        <v>66</v>
      </c>
      <c r="B255" s="4">
        <v>46045</v>
      </c>
      <c r="C255" t="s">
        <v>47</v>
      </c>
      <c r="D255" t="s">
        <v>37</v>
      </c>
      <c r="E255">
        <v>7.5</v>
      </c>
      <c r="F255">
        <v>36969.800000000003</v>
      </c>
      <c r="G255">
        <v>3600</v>
      </c>
      <c r="H255">
        <v>33369.800000000003</v>
      </c>
      <c r="I255" t="s">
        <v>67</v>
      </c>
      <c r="J255">
        <v>10</v>
      </c>
      <c r="K255">
        <v>9387.59</v>
      </c>
    </row>
    <row r="256" spans="1:11">
      <c r="A256" t="s">
        <v>217</v>
      </c>
      <c r="B256" s="4">
        <v>45969</v>
      </c>
      <c r="C256" t="s">
        <v>45</v>
      </c>
      <c r="D256" t="s">
        <v>41</v>
      </c>
      <c r="E256">
        <v>5.7</v>
      </c>
      <c r="F256">
        <v>42260.9</v>
      </c>
      <c r="G256">
        <v>2719.7</v>
      </c>
      <c r="H256">
        <v>39541.199999999997</v>
      </c>
      <c r="I256" t="s">
        <v>65</v>
      </c>
      <c r="J256">
        <v>2.63</v>
      </c>
      <c r="K256">
        <v>8305.85</v>
      </c>
    </row>
    <row r="257" spans="1:11">
      <c r="A257" t="s">
        <v>218</v>
      </c>
      <c r="B257" s="4">
        <v>46021</v>
      </c>
      <c r="C257" t="s">
        <v>53</v>
      </c>
      <c r="D257" t="s">
        <v>41</v>
      </c>
      <c r="E257">
        <v>7.8</v>
      </c>
      <c r="F257">
        <v>33518.300000000003</v>
      </c>
      <c r="G257">
        <v>3703.7</v>
      </c>
      <c r="H257">
        <v>29814.6</v>
      </c>
      <c r="I257" t="s">
        <v>70</v>
      </c>
      <c r="J257">
        <v>2.2000000000000002</v>
      </c>
      <c r="K257">
        <v>9715.98</v>
      </c>
    </row>
    <row r="258" spans="1:11">
      <c r="A258" t="s">
        <v>101</v>
      </c>
      <c r="B258" s="4">
        <v>45851</v>
      </c>
      <c r="C258" t="s">
        <v>47</v>
      </c>
      <c r="D258" t="s">
        <v>37</v>
      </c>
      <c r="E258">
        <v>1</v>
      </c>
      <c r="F258">
        <v>4045.8</v>
      </c>
      <c r="G258">
        <v>143.30000000000001</v>
      </c>
      <c r="H258">
        <v>3902.5</v>
      </c>
      <c r="I258" t="s">
        <v>65</v>
      </c>
      <c r="J258">
        <v>7.99</v>
      </c>
      <c r="K258">
        <v>958.5</v>
      </c>
    </row>
    <row r="259" spans="1:11">
      <c r="A259" t="s">
        <v>107</v>
      </c>
      <c r="B259" s="4">
        <v>45999</v>
      </c>
      <c r="C259" t="s">
        <v>51</v>
      </c>
      <c r="D259" t="s">
        <v>41</v>
      </c>
      <c r="E259">
        <v>2.4</v>
      </c>
      <c r="F259">
        <v>18277.8</v>
      </c>
      <c r="G259">
        <v>1686.8</v>
      </c>
      <c r="H259">
        <v>16591</v>
      </c>
      <c r="I259" t="s">
        <v>70</v>
      </c>
      <c r="J259">
        <v>2.2799999999999998</v>
      </c>
      <c r="K259">
        <v>3935.31</v>
      </c>
    </row>
    <row r="260" spans="1:11">
      <c r="A260" t="s">
        <v>103</v>
      </c>
      <c r="B260" s="4">
        <v>46171</v>
      </c>
      <c r="C260" t="s">
        <v>49</v>
      </c>
      <c r="D260" t="s">
        <v>33</v>
      </c>
      <c r="E260">
        <v>6.7</v>
      </c>
      <c r="F260">
        <v>17559.8</v>
      </c>
      <c r="G260">
        <v>1331.5</v>
      </c>
      <c r="H260">
        <v>16228.3</v>
      </c>
      <c r="I260" t="s">
        <v>70</v>
      </c>
      <c r="J260">
        <v>5.66</v>
      </c>
      <c r="K260">
        <v>9936.66</v>
      </c>
    </row>
    <row r="261" spans="1:11">
      <c r="A261" t="s">
        <v>175</v>
      </c>
      <c r="B261" s="4">
        <v>45996</v>
      </c>
      <c r="C261" t="s">
        <v>47</v>
      </c>
      <c r="D261" t="s">
        <v>41</v>
      </c>
      <c r="E261">
        <v>13.9</v>
      </c>
      <c r="F261">
        <v>68338.3</v>
      </c>
      <c r="G261">
        <v>4061</v>
      </c>
      <c r="H261">
        <v>64277.3</v>
      </c>
      <c r="I261" t="s">
        <v>67</v>
      </c>
      <c r="J261">
        <v>2.35</v>
      </c>
      <c r="K261">
        <v>17721.810000000001</v>
      </c>
    </row>
    <row r="262" spans="1:11">
      <c r="A262" t="s">
        <v>176</v>
      </c>
      <c r="B262" s="4">
        <v>45963</v>
      </c>
      <c r="C262" t="s">
        <v>51</v>
      </c>
      <c r="D262" t="s">
        <v>39</v>
      </c>
      <c r="E262">
        <v>1.5</v>
      </c>
      <c r="F262">
        <v>1464.9</v>
      </c>
      <c r="G262">
        <v>98.8</v>
      </c>
      <c r="H262">
        <v>1366.1</v>
      </c>
      <c r="I262" t="s">
        <v>67</v>
      </c>
      <c r="J262">
        <v>5.2</v>
      </c>
      <c r="K262">
        <v>1529.77</v>
      </c>
    </row>
    <row r="263" spans="1:11">
      <c r="A263" t="s">
        <v>122</v>
      </c>
      <c r="B263" s="4">
        <v>45993</v>
      </c>
      <c r="C263" t="s">
        <v>45</v>
      </c>
      <c r="D263" t="s">
        <v>31</v>
      </c>
      <c r="E263">
        <v>5.9</v>
      </c>
      <c r="F263">
        <v>10165.6</v>
      </c>
      <c r="G263">
        <v>863.8</v>
      </c>
      <c r="H263">
        <v>9301.7999999999993</v>
      </c>
      <c r="I263" t="s">
        <v>67</v>
      </c>
      <c r="J263">
        <v>3.51</v>
      </c>
      <c r="K263">
        <v>10063.58</v>
      </c>
    </row>
    <row r="264" spans="1:11">
      <c r="A264" t="s">
        <v>122</v>
      </c>
      <c r="B264" s="4">
        <v>46075</v>
      </c>
      <c r="C264" t="s">
        <v>49</v>
      </c>
      <c r="D264" t="s">
        <v>37</v>
      </c>
      <c r="E264">
        <v>7</v>
      </c>
      <c r="F264">
        <v>39532.199999999997</v>
      </c>
      <c r="G264">
        <v>3315.2</v>
      </c>
      <c r="H264">
        <v>36217</v>
      </c>
      <c r="I264" t="s">
        <v>77</v>
      </c>
      <c r="J264">
        <v>9.94</v>
      </c>
      <c r="K264">
        <v>7764.39</v>
      </c>
    </row>
    <row r="265" spans="1:11">
      <c r="A265" t="s">
        <v>189</v>
      </c>
      <c r="B265" s="4">
        <v>45973</v>
      </c>
      <c r="C265" t="s">
        <v>45</v>
      </c>
      <c r="D265" t="s">
        <v>35</v>
      </c>
      <c r="E265">
        <v>7.2</v>
      </c>
      <c r="F265">
        <v>60628.9</v>
      </c>
      <c r="G265">
        <v>2324.3000000000002</v>
      </c>
      <c r="H265">
        <v>58304.6</v>
      </c>
      <c r="I265" t="s">
        <v>65</v>
      </c>
      <c r="J265">
        <v>7.2</v>
      </c>
      <c r="K265">
        <v>12362.33</v>
      </c>
    </row>
    <row r="266" spans="1:11">
      <c r="A266" t="s">
        <v>72</v>
      </c>
      <c r="B266" s="4">
        <v>46163</v>
      </c>
      <c r="C266" t="s">
        <v>47</v>
      </c>
      <c r="D266" t="s">
        <v>35</v>
      </c>
      <c r="E266">
        <v>14.5</v>
      </c>
      <c r="F266">
        <v>73032.600000000006</v>
      </c>
      <c r="G266">
        <v>5264.9</v>
      </c>
      <c r="H266">
        <v>67767.7</v>
      </c>
      <c r="I266" t="s">
        <v>70</v>
      </c>
      <c r="J266">
        <v>6.33</v>
      </c>
      <c r="K266">
        <v>21433.07</v>
      </c>
    </row>
    <row r="267" spans="1:11">
      <c r="A267" t="s">
        <v>214</v>
      </c>
      <c r="B267" s="4">
        <v>45854</v>
      </c>
      <c r="C267" t="s">
        <v>53</v>
      </c>
      <c r="D267" t="s">
        <v>35</v>
      </c>
      <c r="E267">
        <v>11.7</v>
      </c>
      <c r="F267">
        <v>78102.3</v>
      </c>
      <c r="G267">
        <v>3903.5</v>
      </c>
      <c r="H267">
        <v>74198.8</v>
      </c>
      <c r="I267" t="s">
        <v>65</v>
      </c>
      <c r="J267">
        <v>6.5</v>
      </c>
      <c r="K267">
        <v>19960.66</v>
      </c>
    </row>
    <row r="268" spans="1:11">
      <c r="A268" t="s">
        <v>156</v>
      </c>
      <c r="B268" s="4">
        <v>46143</v>
      </c>
      <c r="C268" t="s">
        <v>45</v>
      </c>
      <c r="D268" t="s">
        <v>33</v>
      </c>
      <c r="E268">
        <v>13.2</v>
      </c>
      <c r="F268">
        <v>24323.5</v>
      </c>
      <c r="G268">
        <v>3660.9</v>
      </c>
      <c r="H268">
        <v>20662.599999999999</v>
      </c>
      <c r="I268" t="s">
        <v>67</v>
      </c>
      <c r="J268">
        <v>5.52</v>
      </c>
      <c r="K268">
        <v>16108.13</v>
      </c>
    </row>
    <row r="269" spans="1:11">
      <c r="A269" t="s">
        <v>219</v>
      </c>
      <c r="B269" s="4">
        <v>46115</v>
      </c>
      <c r="C269" t="s">
        <v>47</v>
      </c>
      <c r="D269" t="s">
        <v>39</v>
      </c>
      <c r="E269">
        <v>3.1</v>
      </c>
      <c r="F269">
        <v>4352.3999999999996</v>
      </c>
      <c r="G269">
        <v>652.79999999999995</v>
      </c>
      <c r="H269">
        <v>3699.6</v>
      </c>
      <c r="I269" t="s">
        <v>65</v>
      </c>
      <c r="J269">
        <v>4.91</v>
      </c>
      <c r="K269">
        <v>3679.24</v>
      </c>
    </row>
    <row r="270" spans="1:11">
      <c r="A270" t="s">
        <v>150</v>
      </c>
      <c r="B270" s="4">
        <v>46201</v>
      </c>
      <c r="C270" t="s">
        <v>45</v>
      </c>
      <c r="D270" t="s">
        <v>35</v>
      </c>
      <c r="E270">
        <v>14.3</v>
      </c>
      <c r="F270">
        <v>143731.5</v>
      </c>
      <c r="G270">
        <v>20451.900000000001</v>
      </c>
      <c r="H270">
        <v>123279.6</v>
      </c>
      <c r="I270" t="s">
        <v>77</v>
      </c>
      <c r="J270">
        <v>5.69</v>
      </c>
      <c r="K270">
        <v>17047.169999999998</v>
      </c>
    </row>
    <row r="271" spans="1:11">
      <c r="A271" t="s">
        <v>66</v>
      </c>
      <c r="B271" s="4">
        <v>45987</v>
      </c>
      <c r="C271" t="s">
        <v>51</v>
      </c>
      <c r="D271" t="s">
        <v>33</v>
      </c>
      <c r="E271">
        <v>14</v>
      </c>
      <c r="F271">
        <v>28959.5</v>
      </c>
      <c r="G271">
        <v>3737.4</v>
      </c>
      <c r="H271">
        <v>25222.1</v>
      </c>
      <c r="I271" t="s">
        <v>67</v>
      </c>
      <c r="J271">
        <v>5.36</v>
      </c>
      <c r="K271">
        <v>9895.19</v>
      </c>
    </row>
    <row r="272" spans="1:11">
      <c r="A272" t="s">
        <v>179</v>
      </c>
      <c r="B272" s="4">
        <v>46090</v>
      </c>
      <c r="C272" t="s">
        <v>45</v>
      </c>
      <c r="D272" t="s">
        <v>35</v>
      </c>
      <c r="E272">
        <v>13.2</v>
      </c>
      <c r="F272">
        <v>96479.2</v>
      </c>
      <c r="G272">
        <v>14716.9</v>
      </c>
      <c r="H272">
        <v>81762.3</v>
      </c>
      <c r="I272" t="s">
        <v>65</v>
      </c>
      <c r="J272">
        <v>5.83</v>
      </c>
      <c r="K272">
        <v>13481</v>
      </c>
    </row>
    <row r="273" spans="1:11">
      <c r="A273" t="s">
        <v>131</v>
      </c>
      <c r="B273" s="4">
        <v>45988</v>
      </c>
      <c r="C273" t="s">
        <v>53</v>
      </c>
      <c r="D273" t="s">
        <v>33</v>
      </c>
      <c r="E273">
        <v>6.6</v>
      </c>
      <c r="F273">
        <v>13237.3</v>
      </c>
      <c r="G273">
        <v>1952</v>
      </c>
      <c r="H273">
        <v>11285.3</v>
      </c>
      <c r="I273" t="s">
        <v>67</v>
      </c>
      <c r="J273">
        <v>6.56</v>
      </c>
      <c r="K273">
        <v>10941.22</v>
      </c>
    </row>
    <row r="274" spans="1:11">
      <c r="A274" t="s">
        <v>104</v>
      </c>
      <c r="B274" s="4">
        <v>46124</v>
      </c>
      <c r="C274" t="s">
        <v>51</v>
      </c>
      <c r="D274" t="s">
        <v>31</v>
      </c>
      <c r="E274">
        <v>5.5</v>
      </c>
      <c r="F274">
        <v>6519.1</v>
      </c>
      <c r="G274">
        <v>560.70000000000005</v>
      </c>
      <c r="H274">
        <v>5958.4</v>
      </c>
      <c r="I274" t="s">
        <v>77</v>
      </c>
      <c r="J274">
        <v>3.63</v>
      </c>
      <c r="K274">
        <v>6648.8</v>
      </c>
    </row>
    <row r="275" spans="1:11">
      <c r="A275" t="s">
        <v>193</v>
      </c>
      <c r="B275" s="4">
        <v>45919</v>
      </c>
      <c r="C275" t="s">
        <v>51</v>
      </c>
      <c r="D275" t="s">
        <v>39</v>
      </c>
      <c r="E275">
        <v>14.6</v>
      </c>
      <c r="F275">
        <v>18208.599999999999</v>
      </c>
      <c r="G275">
        <v>1359.8</v>
      </c>
      <c r="H275">
        <v>16848.8</v>
      </c>
      <c r="I275" t="s">
        <v>70</v>
      </c>
      <c r="J275">
        <v>3.91</v>
      </c>
      <c r="K275">
        <v>15292.49</v>
      </c>
    </row>
    <row r="276" spans="1:11">
      <c r="A276" t="s">
        <v>220</v>
      </c>
      <c r="B276" s="4">
        <v>46020</v>
      </c>
      <c r="C276" t="s">
        <v>51</v>
      </c>
      <c r="D276" t="s">
        <v>33</v>
      </c>
      <c r="E276">
        <v>8.1999999999999993</v>
      </c>
      <c r="F276">
        <v>21435.8</v>
      </c>
      <c r="G276">
        <v>1133</v>
      </c>
      <c r="H276">
        <v>20302.8</v>
      </c>
      <c r="I276" t="s">
        <v>70</v>
      </c>
      <c r="J276">
        <v>5.01</v>
      </c>
      <c r="K276">
        <v>5457.63</v>
      </c>
    </row>
    <row r="277" spans="1:11">
      <c r="A277" t="s">
        <v>221</v>
      </c>
      <c r="B277" s="4">
        <v>45921</v>
      </c>
      <c r="C277" t="s">
        <v>45</v>
      </c>
      <c r="D277" t="s">
        <v>37</v>
      </c>
      <c r="E277">
        <v>14.6</v>
      </c>
      <c r="F277">
        <v>76661.8</v>
      </c>
      <c r="G277">
        <v>7934.3</v>
      </c>
      <c r="H277">
        <v>68727.5</v>
      </c>
      <c r="I277" t="s">
        <v>70</v>
      </c>
      <c r="J277">
        <v>8.6300000000000008</v>
      </c>
      <c r="K277">
        <v>16733.650000000001</v>
      </c>
    </row>
    <row r="278" spans="1:11">
      <c r="A278" t="s">
        <v>87</v>
      </c>
      <c r="B278" s="4">
        <v>46058</v>
      </c>
      <c r="C278" t="s">
        <v>51</v>
      </c>
      <c r="D278" t="s">
        <v>39</v>
      </c>
      <c r="E278">
        <v>4.0999999999999996</v>
      </c>
      <c r="F278">
        <v>5721</v>
      </c>
      <c r="G278">
        <v>280.2</v>
      </c>
      <c r="H278">
        <v>5440.8</v>
      </c>
      <c r="I278" t="s">
        <v>70</v>
      </c>
      <c r="J278">
        <v>5.25</v>
      </c>
      <c r="K278">
        <v>6118.64</v>
      </c>
    </row>
    <row r="279" spans="1:11">
      <c r="A279" t="s">
        <v>83</v>
      </c>
      <c r="B279" s="4">
        <v>45871</v>
      </c>
      <c r="C279" t="s">
        <v>53</v>
      </c>
      <c r="D279" t="s">
        <v>33</v>
      </c>
      <c r="E279">
        <v>11.3</v>
      </c>
      <c r="F279">
        <v>30057</v>
      </c>
      <c r="G279">
        <v>2956.9</v>
      </c>
      <c r="H279">
        <v>27100.1</v>
      </c>
      <c r="I279" t="s">
        <v>65</v>
      </c>
      <c r="J279">
        <v>5.59</v>
      </c>
      <c r="K279">
        <v>14309.68</v>
      </c>
    </row>
    <row r="280" spans="1:11">
      <c r="A280" t="s">
        <v>188</v>
      </c>
      <c r="B280" s="4">
        <v>46133</v>
      </c>
      <c r="C280" t="s">
        <v>51</v>
      </c>
      <c r="D280" t="s">
        <v>41</v>
      </c>
      <c r="E280">
        <v>7.6</v>
      </c>
      <c r="F280">
        <v>47835.199999999997</v>
      </c>
      <c r="G280">
        <v>2429.1999999999998</v>
      </c>
      <c r="H280">
        <v>45406</v>
      </c>
      <c r="I280" t="s">
        <v>70</v>
      </c>
      <c r="J280">
        <v>2.0699999999999998</v>
      </c>
      <c r="K280">
        <v>5818.78</v>
      </c>
    </row>
    <row r="281" spans="1:11">
      <c r="A281" t="s">
        <v>172</v>
      </c>
      <c r="B281" s="4">
        <v>45885</v>
      </c>
      <c r="C281" t="s">
        <v>51</v>
      </c>
      <c r="D281" t="s">
        <v>35</v>
      </c>
      <c r="E281">
        <v>3.5</v>
      </c>
      <c r="F281">
        <v>22771.3</v>
      </c>
      <c r="G281">
        <v>2350.4</v>
      </c>
      <c r="H281">
        <v>20420.900000000001</v>
      </c>
      <c r="I281" t="s">
        <v>70</v>
      </c>
      <c r="J281">
        <v>6.1</v>
      </c>
      <c r="K281">
        <v>4477.34</v>
      </c>
    </row>
    <row r="282" spans="1:11">
      <c r="A282" t="s">
        <v>217</v>
      </c>
      <c r="B282" s="4">
        <v>45992</v>
      </c>
      <c r="C282" t="s">
        <v>49</v>
      </c>
      <c r="D282" t="s">
        <v>35</v>
      </c>
      <c r="E282">
        <v>4.5999999999999996</v>
      </c>
      <c r="F282">
        <v>46047.5</v>
      </c>
      <c r="G282">
        <v>2948.3</v>
      </c>
      <c r="H282">
        <v>43099.199999999997</v>
      </c>
      <c r="I282" t="s">
        <v>65</v>
      </c>
      <c r="J282">
        <v>5.75</v>
      </c>
      <c r="K282">
        <v>7210.64</v>
      </c>
    </row>
    <row r="283" spans="1:11">
      <c r="A283" t="s">
        <v>221</v>
      </c>
      <c r="B283" s="4">
        <v>45919</v>
      </c>
      <c r="C283" t="s">
        <v>45</v>
      </c>
      <c r="D283" t="s">
        <v>33</v>
      </c>
      <c r="E283">
        <v>3.7</v>
      </c>
      <c r="F283">
        <v>9875.5</v>
      </c>
      <c r="G283">
        <v>367.2</v>
      </c>
      <c r="H283">
        <v>9508.2999999999993</v>
      </c>
      <c r="I283" t="s">
        <v>70</v>
      </c>
      <c r="J283">
        <v>5.6</v>
      </c>
      <c r="K283">
        <v>3459.79</v>
      </c>
    </row>
    <row r="284" spans="1:11">
      <c r="A284" t="s">
        <v>180</v>
      </c>
      <c r="B284" s="4">
        <v>45954</v>
      </c>
      <c r="C284" t="s">
        <v>51</v>
      </c>
      <c r="D284" t="s">
        <v>31</v>
      </c>
      <c r="E284">
        <v>4.8</v>
      </c>
      <c r="F284">
        <v>6809.6</v>
      </c>
      <c r="G284">
        <v>468.6</v>
      </c>
      <c r="H284">
        <v>6341</v>
      </c>
      <c r="I284" t="s">
        <v>65</v>
      </c>
      <c r="J284">
        <v>3.3</v>
      </c>
      <c r="K284">
        <v>8266.68</v>
      </c>
    </row>
    <row r="285" spans="1:11">
      <c r="A285" t="s">
        <v>197</v>
      </c>
      <c r="B285" s="4">
        <v>45981</v>
      </c>
      <c r="C285" t="s">
        <v>49</v>
      </c>
      <c r="D285" t="s">
        <v>39</v>
      </c>
      <c r="E285">
        <v>14.8</v>
      </c>
      <c r="F285">
        <v>14889.5</v>
      </c>
      <c r="G285">
        <v>765.5</v>
      </c>
      <c r="H285">
        <v>14124</v>
      </c>
      <c r="I285" t="s">
        <v>70</v>
      </c>
      <c r="J285">
        <v>4.4000000000000004</v>
      </c>
      <c r="K285">
        <v>14064.97</v>
      </c>
    </row>
    <row r="286" spans="1:11">
      <c r="A286" t="s">
        <v>222</v>
      </c>
      <c r="B286" s="4">
        <v>46151</v>
      </c>
      <c r="C286" t="s">
        <v>53</v>
      </c>
      <c r="D286" t="s">
        <v>37</v>
      </c>
      <c r="E286">
        <v>12.4</v>
      </c>
      <c r="F286">
        <v>77439.3</v>
      </c>
      <c r="G286">
        <v>2708.3</v>
      </c>
      <c r="H286">
        <v>74731</v>
      </c>
      <c r="I286" t="s">
        <v>77</v>
      </c>
      <c r="J286">
        <v>8.1300000000000008</v>
      </c>
      <c r="K286">
        <v>10711.17</v>
      </c>
    </row>
    <row r="287" spans="1:11">
      <c r="A287" t="s">
        <v>64</v>
      </c>
      <c r="B287" s="4">
        <v>45841</v>
      </c>
      <c r="C287" t="s">
        <v>49</v>
      </c>
      <c r="D287" t="s">
        <v>37</v>
      </c>
      <c r="E287">
        <v>2.1</v>
      </c>
      <c r="F287">
        <v>12707.7</v>
      </c>
      <c r="G287">
        <v>1925</v>
      </c>
      <c r="H287">
        <v>10782.7</v>
      </c>
      <c r="I287" t="s">
        <v>67</v>
      </c>
      <c r="J287">
        <v>9.6199999999999992</v>
      </c>
      <c r="K287">
        <v>3316.44</v>
      </c>
    </row>
    <row r="288" spans="1:11">
      <c r="A288" t="s">
        <v>131</v>
      </c>
      <c r="B288" s="4">
        <v>46121</v>
      </c>
      <c r="C288" t="s">
        <v>53</v>
      </c>
      <c r="D288" t="s">
        <v>31</v>
      </c>
      <c r="E288">
        <v>4.4000000000000004</v>
      </c>
      <c r="F288">
        <v>6918.9</v>
      </c>
      <c r="G288">
        <v>758.5</v>
      </c>
      <c r="H288">
        <v>6160.4</v>
      </c>
      <c r="I288" t="s">
        <v>67</v>
      </c>
      <c r="J288">
        <v>3.12</v>
      </c>
      <c r="K288">
        <v>4798.46</v>
      </c>
    </row>
    <row r="289" spans="1:11">
      <c r="A289" t="s">
        <v>223</v>
      </c>
      <c r="B289" s="4">
        <v>46026</v>
      </c>
      <c r="C289" t="s">
        <v>45</v>
      </c>
      <c r="D289" t="s">
        <v>37</v>
      </c>
      <c r="E289">
        <v>14.2</v>
      </c>
      <c r="F289">
        <v>91846.399999999994</v>
      </c>
      <c r="G289">
        <v>11703.8</v>
      </c>
      <c r="H289">
        <v>80142.600000000006</v>
      </c>
      <c r="I289" t="s">
        <v>77</v>
      </c>
      <c r="J289">
        <v>10.65</v>
      </c>
      <c r="K289">
        <v>24540.959999999999</v>
      </c>
    </row>
    <row r="290" spans="1:11">
      <c r="A290" t="s">
        <v>164</v>
      </c>
      <c r="B290" s="4">
        <v>45839</v>
      </c>
      <c r="C290" t="s">
        <v>45</v>
      </c>
      <c r="D290" t="s">
        <v>41</v>
      </c>
      <c r="E290">
        <v>5.8</v>
      </c>
      <c r="F290">
        <v>42463.5</v>
      </c>
      <c r="G290">
        <v>1609.5</v>
      </c>
      <c r="H290">
        <v>40854</v>
      </c>
      <c r="I290" t="s">
        <v>65</v>
      </c>
      <c r="J290">
        <v>2.15</v>
      </c>
      <c r="K290">
        <v>3938.92</v>
      </c>
    </row>
    <row r="291" spans="1:11">
      <c r="A291" t="s">
        <v>64</v>
      </c>
      <c r="B291" s="4">
        <v>46038</v>
      </c>
      <c r="C291" t="s">
        <v>45</v>
      </c>
      <c r="D291" t="s">
        <v>33</v>
      </c>
      <c r="E291">
        <v>3.9</v>
      </c>
      <c r="F291">
        <v>7437</v>
      </c>
      <c r="G291">
        <v>322.10000000000002</v>
      </c>
      <c r="H291">
        <v>7114.9</v>
      </c>
      <c r="I291" t="s">
        <v>77</v>
      </c>
      <c r="J291">
        <v>6.75</v>
      </c>
      <c r="K291">
        <v>2752.79</v>
      </c>
    </row>
    <row r="292" spans="1:11">
      <c r="A292" t="s">
        <v>147</v>
      </c>
      <c r="B292" s="4">
        <v>45858</v>
      </c>
      <c r="C292" t="s">
        <v>49</v>
      </c>
      <c r="D292" t="s">
        <v>33</v>
      </c>
      <c r="E292">
        <v>1.4</v>
      </c>
      <c r="F292">
        <v>4031.7</v>
      </c>
      <c r="G292">
        <v>552</v>
      </c>
      <c r="H292">
        <v>3479.7</v>
      </c>
      <c r="I292" t="s">
        <v>77</v>
      </c>
      <c r="J292">
        <v>6.71</v>
      </c>
      <c r="K292">
        <v>1217.6199999999999</v>
      </c>
    </row>
    <row r="293" spans="1:11">
      <c r="A293" t="s">
        <v>66</v>
      </c>
      <c r="B293" s="4">
        <v>46043</v>
      </c>
      <c r="C293" t="s">
        <v>47</v>
      </c>
      <c r="D293" t="s">
        <v>41</v>
      </c>
      <c r="E293">
        <v>14.1</v>
      </c>
      <c r="F293">
        <v>68627.8</v>
      </c>
      <c r="G293">
        <v>5308.6</v>
      </c>
      <c r="H293">
        <v>63319.199999999997</v>
      </c>
      <c r="I293" t="s">
        <v>67</v>
      </c>
      <c r="J293">
        <v>2.0499999999999998</v>
      </c>
      <c r="K293">
        <v>21697.17</v>
      </c>
    </row>
    <row r="294" spans="1:11">
      <c r="A294" t="s">
        <v>68</v>
      </c>
      <c r="B294" s="4">
        <v>46129</v>
      </c>
      <c r="C294" t="s">
        <v>45</v>
      </c>
      <c r="D294" t="s">
        <v>41</v>
      </c>
      <c r="E294">
        <v>5.3</v>
      </c>
      <c r="F294">
        <v>25983.200000000001</v>
      </c>
      <c r="G294">
        <v>1908.2</v>
      </c>
      <c r="H294">
        <v>24075</v>
      </c>
      <c r="I294" t="s">
        <v>65</v>
      </c>
      <c r="J294">
        <v>2.33</v>
      </c>
      <c r="K294">
        <v>9151.64</v>
      </c>
    </row>
    <row r="295" spans="1:11">
      <c r="A295" t="s">
        <v>224</v>
      </c>
      <c r="B295" s="4">
        <v>45863</v>
      </c>
      <c r="C295" t="s">
        <v>51</v>
      </c>
      <c r="D295" t="s">
        <v>39</v>
      </c>
      <c r="E295">
        <v>12.4</v>
      </c>
      <c r="F295">
        <v>17538.5</v>
      </c>
      <c r="G295">
        <v>930.4</v>
      </c>
      <c r="H295">
        <v>16608.099999999999</v>
      </c>
      <c r="I295" t="s">
        <v>65</v>
      </c>
      <c r="J295">
        <v>4.1500000000000004</v>
      </c>
      <c r="K295">
        <v>19686.36</v>
      </c>
    </row>
    <row r="296" spans="1:11">
      <c r="A296" t="s">
        <v>95</v>
      </c>
      <c r="B296" s="4">
        <v>45995</v>
      </c>
      <c r="C296" t="s">
        <v>49</v>
      </c>
      <c r="D296" t="s">
        <v>31</v>
      </c>
      <c r="E296">
        <v>3</v>
      </c>
      <c r="F296">
        <v>6363.2</v>
      </c>
      <c r="G296">
        <v>184.7</v>
      </c>
      <c r="H296">
        <v>6178.5</v>
      </c>
      <c r="I296" t="s">
        <v>70</v>
      </c>
      <c r="J296">
        <v>3.79</v>
      </c>
      <c r="K296">
        <v>3863.41</v>
      </c>
    </row>
    <row r="297" spans="1:11">
      <c r="A297" t="s">
        <v>190</v>
      </c>
      <c r="B297" s="4">
        <v>46064</v>
      </c>
      <c r="C297" t="s">
        <v>47</v>
      </c>
      <c r="D297" t="s">
        <v>41</v>
      </c>
      <c r="E297">
        <v>13.4</v>
      </c>
      <c r="F297">
        <v>97385.5</v>
      </c>
      <c r="G297">
        <v>14526.3</v>
      </c>
      <c r="H297">
        <v>82859.199999999997</v>
      </c>
      <c r="I297" t="s">
        <v>67</v>
      </c>
      <c r="J297">
        <v>2.42</v>
      </c>
      <c r="K297">
        <v>18981.580000000002</v>
      </c>
    </row>
    <row r="298" spans="1:11">
      <c r="A298" t="s">
        <v>112</v>
      </c>
      <c r="B298" s="4">
        <v>46095</v>
      </c>
      <c r="C298" t="s">
        <v>49</v>
      </c>
      <c r="D298" t="s">
        <v>39</v>
      </c>
      <c r="E298">
        <v>3.9</v>
      </c>
      <c r="F298">
        <v>6134.9</v>
      </c>
      <c r="G298">
        <v>681.2</v>
      </c>
      <c r="H298">
        <v>5453.7</v>
      </c>
      <c r="I298" t="s">
        <v>67</v>
      </c>
      <c r="J298">
        <v>4.99</v>
      </c>
      <c r="K298">
        <v>6647.42</v>
      </c>
    </row>
    <row r="299" spans="1:11">
      <c r="A299" t="s">
        <v>225</v>
      </c>
      <c r="B299" s="4">
        <v>45998</v>
      </c>
      <c r="C299" t="s">
        <v>45</v>
      </c>
      <c r="D299" t="s">
        <v>41</v>
      </c>
      <c r="E299">
        <v>6.7</v>
      </c>
      <c r="F299">
        <v>41975.199999999997</v>
      </c>
      <c r="G299">
        <v>4558.1000000000004</v>
      </c>
      <c r="H299">
        <v>37417.1</v>
      </c>
      <c r="I299" t="s">
        <v>77</v>
      </c>
      <c r="J299">
        <v>2.25</v>
      </c>
      <c r="K299">
        <v>4796.8500000000004</v>
      </c>
    </row>
    <row r="300" spans="1:11">
      <c r="A300" t="s">
        <v>150</v>
      </c>
      <c r="B300" s="4">
        <v>45892</v>
      </c>
      <c r="C300" t="s">
        <v>45</v>
      </c>
      <c r="D300" t="s">
        <v>31</v>
      </c>
      <c r="E300">
        <v>11.4</v>
      </c>
      <c r="F300">
        <v>13756.2</v>
      </c>
      <c r="G300">
        <v>1207.5999999999999</v>
      </c>
      <c r="H300">
        <v>12548.6</v>
      </c>
      <c r="I300" t="s">
        <v>65</v>
      </c>
      <c r="J300">
        <v>3.2</v>
      </c>
      <c r="K300">
        <v>18516.900000000001</v>
      </c>
    </row>
    <row r="301" spans="1:11">
      <c r="A301" t="s">
        <v>161</v>
      </c>
      <c r="B301" s="4">
        <v>45916</v>
      </c>
      <c r="C301" t="s">
        <v>45</v>
      </c>
      <c r="D301" t="s">
        <v>33</v>
      </c>
      <c r="E301">
        <v>5.2</v>
      </c>
      <c r="F301">
        <v>12301.1</v>
      </c>
      <c r="G301">
        <v>607.79999999999995</v>
      </c>
      <c r="H301">
        <v>11693.3</v>
      </c>
      <c r="I301" t="s">
        <v>70</v>
      </c>
      <c r="J301">
        <v>5.7</v>
      </c>
      <c r="K301">
        <v>7817.51</v>
      </c>
    </row>
    <row r="302" spans="1:11">
      <c r="A302" t="s">
        <v>181</v>
      </c>
      <c r="B302" s="4">
        <v>46149</v>
      </c>
      <c r="C302" t="s">
        <v>53</v>
      </c>
      <c r="D302" t="s">
        <v>39</v>
      </c>
      <c r="E302">
        <v>13.9</v>
      </c>
      <c r="F302">
        <v>14758.2</v>
      </c>
      <c r="G302">
        <v>2200.4</v>
      </c>
      <c r="H302">
        <v>12557.8</v>
      </c>
      <c r="I302" t="s">
        <v>65</v>
      </c>
      <c r="J302">
        <v>4.5999999999999996</v>
      </c>
      <c r="K302">
        <v>9283.68</v>
      </c>
    </row>
    <row r="303" spans="1:11">
      <c r="A303" t="s">
        <v>197</v>
      </c>
      <c r="B303" s="4">
        <v>46091</v>
      </c>
      <c r="C303" t="s">
        <v>47</v>
      </c>
      <c r="D303" t="s">
        <v>33</v>
      </c>
      <c r="E303">
        <v>6.4</v>
      </c>
      <c r="F303">
        <v>16326.8</v>
      </c>
      <c r="G303">
        <v>1014.3</v>
      </c>
      <c r="H303">
        <v>15312.5</v>
      </c>
      <c r="I303" t="s">
        <v>65</v>
      </c>
      <c r="J303">
        <v>5.12</v>
      </c>
      <c r="K303">
        <v>5285.59</v>
      </c>
    </row>
    <row r="304" spans="1:11">
      <c r="A304" t="s">
        <v>226</v>
      </c>
      <c r="B304" s="4">
        <v>45986</v>
      </c>
      <c r="C304" t="s">
        <v>53</v>
      </c>
      <c r="D304" t="s">
        <v>33</v>
      </c>
      <c r="E304">
        <v>10.8</v>
      </c>
      <c r="F304">
        <v>31141.200000000001</v>
      </c>
      <c r="G304">
        <v>3192.8</v>
      </c>
      <c r="H304">
        <v>27948.400000000001</v>
      </c>
      <c r="I304" t="s">
        <v>77</v>
      </c>
      <c r="J304">
        <v>6.85</v>
      </c>
      <c r="K304">
        <v>8241.7900000000009</v>
      </c>
    </row>
    <row r="305" spans="1:11">
      <c r="A305" t="s">
        <v>102</v>
      </c>
      <c r="B305" s="4">
        <v>45923</v>
      </c>
      <c r="C305" t="s">
        <v>49</v>
      </c>
      <c r="D305" t="s">
        <v>39</v>
      </c>
      <c r="E305">
        <v>5.2</v>
      </c>
      <c r="F305">
        <v>9882.5</v>
      </c>
      <c r="G305">
        <v>1543.7</v>
      </c>
      <c r="H305">
        <v>8338.7999999999993</v>
      </c>
      <c r="I305" t="s">
        <v>70</v>
      </c>
      <c r="J305">
        <v>4.09</v>
      </c>
      <c r="K305">
        <v>8210.2199999999993</v>
      </c>
    </row>
    <row r="306" spans="1:11">
      <c r="A306" t="s">
        <v>123</v>
      </c>
      <c r="B306" s="4">
        <v>45842</v>
      </c>
      <c r="C306" t="s">
        <v>45</v>
      </c>
      <c r="D306" t="s">
        <v>33</v>
      </c>
      <c r="E306">
        <v>9.6999999999999993</v>
      </c>
      <c r="F306">
        <v>17620.599999999999</v>
      </c>
      <c r="G306">
        <v>872.3</v>
      </c>
      <c r="H306">
        <v>16748.3</v>
      </c>
      <c r="I306" t="s">
        <v>67</v>
      </c>
      <c r="J306">
        <v>4.9400000000000004</v>
      </c>
      <c r="K306">
        <v>10026.44</v>
      </c>
    </row>
    <row r="307" spans="1:11">
      <c r="A307" t="s">
        <v>161</v>
      </c>
      <c r="B307" s="4">
        <v>45953</v>
      </c>
      <c r="C307" t="s">
        <v>45</v>
      </c>
      <c r="D307" t="s">
        <v>41</v>
      </c>
      <c r="E307">
        <v>14</v>
      </c>
      <c r="F307">
        <v>71262.899999999994</v>
      </c>
      <c r="G307">
        <v>11224.2</v>
      </c>
      <c r="H307">
        <v>60038.7</v>
      </c>
      <c r="I307" t="s">
        <v>65</v>
      </c>
      <c r="J307">
        <v>2.0699999999999998</v>
      </c>
      <c r="K307">
        <v>9252.9599999999991</v>
      </c>
    </row>
    <row r="308" spans="1:11">
      <c r="A308" t="s">
        <v>134</v>
      </c>
      <c r="B308" s="4">
        <v>46040</v>
      </c>
      <c r="C308" t="s">
        <v>49</v>
      </c>
      <c r="D308" t="s">
        <v>33</v>
      </c>
      <c r="E308">
        <v>12.6</v>
      </c>
      <c r="F308">
        <v>35995.599999999999</v>
      </c>
      <c r="G308">
        <v>4587.8</v>
      </c>
      <c r="H308">
        <v>31407.8</v>
      </c>
      <c r="I308" t="s">
        <v>67</v>
      </c>
      <c r="J308">
        <v>6.68</v>
      </c>
      <c r="K308">
        <v>10403.98</v>
      </c>
    </row>
    <row r="309" spans="1:11">
      <c r="A309" t="s">
        <v>227</v>
      </c>
      <c r="B309" s="4">
        <v>45851</v>
      </c>
      <c r="C309" t="s">
        <v>51</v>
      </c>
      <c r="D309" t="s">
        <v>33</v>
      </c>
      <c r="E309">
        <v>4.5999999999999996</v>
      </c>
      <c r="F309">
        <v>7035.3</v>
      </c>
      <c r="G309">
        <v>301.39999999999998</v>
      </c>
      <c r="H309">
        <v>6733.9</v>
      </c>
      <c r="I309" t="s">
        <v>65</v>
      </c>
      <c r="J309">
        <v>5.63</v>
      </c>
      <c r="K309">
        <v>6113.12</v>
      </c>
    </row>
    <row r="310" spans="1:11">
      <c r="A310" t="s">
        <v>187</v>
      </c>
      <c r="B310" s="4">
        <v>46039</v>
      </c>
      <c r="C310" t="s">
        <v>45</v>
      </c>
      <c r="D310" t="s">
        <v>35</v>
      </c>
      <c r="E310">
        <v>13.3</v>
      </c>
      <c r="F310">
        <v>77046.899999999994</v>
      </c>
      <c r="G310">
        <v>8527</v>
      </c>
      <c r="H310">
        <v>68519.899999999994</v>
      </c>
      <c r="I310" t="s">
        <v>77</v>
      </c>
      <c r="J310">
        <v>6.79</v>
      </c>
      <c r="K310">
        <v>21295.08</v>
      </c>
    </row>
    <row r="311" spans="1:11">
      <c r="A311" t="s">
        <v>106</v>
      </c>
      <c r="B311" s="4">
        <v>46102</v>
      </c>
      <c r="C311" t="s">
        <v>51</v>
      </c>
      <c r="D311" t="s">
        <v>37</v>
      </c>
      <c r="E311">
        <v>2.7</v>
      </c>
      <c r="F311">
        <v>11797.8</v>
      </c>
      <c r="G311">
        <v>634.5</v>
      </c>
      <c r="H311">
        <v>11163.3</v>
      </c>
      <c r="I311" t="s">
        <v>77</v>
      </c>
      <c r="J311">
        <v>9.2200000000000006</v>
      </c>
      <c r="K311">
        <v>3674.38</v>
      </c>
    </row>
    <row r="312" spans="1:11">
      <c r="A312" t="s">
        <v>121</v>
      </c>
      <c r="B312" s="4">
        <v>46029</v>
      </c>
      <c r="C312" t="s">
        <v>47</v>
      </c>
      <c r="D312" t="s">
        <v>41</v>
      </c>
      <c r="E312">
        <v>1.2</v>
      </c>
      <c r="F312">
        <v>8191.2</v>
      </c>
      <c r="G312">
        <v>247.1</v>
      </c>
      <c r="H312">
        <v>7944.1</v>
      </c>
      <c r="I312" t="s">
        <v>77</v>
      </c>
      <c r="J312">
        <v>2.78</v>
      </c>
      <c r="K312">
        <v>783.76</v>
      </c>
    </row>
    <row r="313" spans="1:11">
      <c r="A313" t="s">
        <v>192</v>
      </c>
      <c r="B313" s="4">
        <v>45938</v>
      </c>
      <c r="C313" t="s">
        <v>47</v>
      </c>
      <c r="D313" t="s">
        <v>35</v>
      </c>
      <c r="E313">
        <v>2.7</v>
      </c>
      <c r="F313">
        <v>19793.3</v>
      </c>
      <c r="G313">
        <v>2336</v>
      </c>
      <c r="H313">
        <v>17457.3</v>
      </c>
      <c r="I313" t="s">
        <v>67</v>
      </c>
      <c r="J313">
        <v>5.93</v>
      </c>
      <c r="K313">
        <v>3545.42</v>
      </c>
    </row>
    <row r="314" spans="1:11">
      <c r="A314" t="s">
        <v>228</v>
      </c>
      <c r="B314" s="4">
        <v>46183</v>
      </c>
      <c r="C314" t="s">
        <v>45</v>
      </c>
      <c r="D314" t="s">
        <v>33</v>
      </c>
      <c r="E314">
        <v>6.4</v>
      </c>
      <c r="F314">
        <v>12884.4</v>
      </c>
      <c r="G314">
        <v>1398.4</v>
      </c>
      <c r="H314">
        <v>11486</v>
      </c>
      <c r="I314" t="s">
        <v>70</v>
      </c>
      <c r="J314">
        <v>6.47</v>
      </c>
      <c r="K314">
        <v>10052.33</v>
      </c>
    </row>
    <row r="315" spans="1:11">
      <c r="A315" t="s">
        <v>82</v>
      </c>
      <c r="B315" s="4">
        <v>46036</v>
      </c>
      <c r="C315" t="s">
        <v>47</v>
      </c>
      <c r="D315" t="s">
        <v>41</v>
      </c>
      <c r="E315">
        <v>1.8</v>
      </c>
      <c r="F315">
        <v>11125.8</v>
      </c>
      <c r="G315">
        <v>234</v>
      </c>
      <c r="H315">
        <v>10891.8</v>
      </c>
      <c r="I315" t="s">
        <v>70</v>
      </c>
      <c r="J315">
        <v>2.56</v>
      </c>
      <c r="K315">
        <v>1599.19</v>
      </c>
    </row>
    <row r="316" spans="1:11">
      <c r="A316" t="s">
        <v>157</v>
      </c>
      <c r="B316" s="4">
        <v>46117</v>
      </c>
      <c r="C316" t="s">
        <v>47</v>
      </c>
      <c r="D316" t="s">
        <v>35</v>
      </c>
      <c r="E316">
        <v>13.5</v>
      </c>
      <c r="F316">
        <v>102939.9</v>
      </c>
      <c r="G316">
        <v>8834.1</v>
      </c>
      <c r="H316">
        <v>94105.8</v>
      </c>
      <c r="I316" t="s">
        <v>65</v>
      </c>
      <c r="J316">
        <v>6.79</v>
      </c>
      <c r="K316">
        <v>21610.59</v>
      </c>
    </row>
    <row r="317" spans="1:11">
      <c r="A317" t="s">
        <v>194</v>
      </c>
      <c r="B317" s="4">
        <v>46029</v>
      </c>
      <c r="C317" t="s">
        <v>51</v>
      </c>
      <c r="D317" t="s">
        <v>33</v>
      </c>
      <c r="E317">
        <v>9.8000000000000007</v>
      </c>
      <c r="F317">
        <v>28970.7</v>
      </c>
      <c r="G317">
        <v>2525.4</v>
      </c>
      <c r="H317">
        <v>26445.3</v>
      </c>
      <c r="I317" t="s">
        <v>70</v>
      </c>
      <c r="J317">
        <v>5.5</v>
      </c>
      <c r="K317">
        <v>12132.66</v>
      </c>
    </row>
    <row r="318" spans="1:11">
      <c r="A318" t="s">
        <v>139</v>
      </c>
      <c r="B318" s="4">
        <v>45989</v>
      </c>
      <c r="C318" t="s">
        <v>45</v>
      </c>
      <c r="D318" t="s">
        <v>37</v>
      </c>
      <c r="E318">
        <v>12.6</v>
      </c>
      <c r="F318">
        <v>63440.4</v>
      </c>
      <c r="G318">
        <v>6216.9</v>
      </c>
      <c r="H318">
        <v>57223.5</v>
      </c>
      <c r="I318" t="s">
        <v>70</v>
      </c>
      <c r="J318">
        <v>8.44</v>
      </c>
      <c r="K318">
        <v>17211.47</v>
      </c>
    </row>
    <row r="319" spans="1:11">
      <c r="A319" t="s">
        <v>229</v>
      </c>
      <c r="B319" s="4">
        <v>46184</v>
      </c>
      <c r="C319" t="s">
        <v>47</v>
      </c>
      <c r="D319" t="s">
        <v>41</v>
      </c>
      <c r="E319">
        <v>1.5</v>
      </c>
      <c r="F319">
        <v>7830.6</v>
      </c>
      <c r="G319">
        <v>990.7</v>
      </c>
      <c r="H319">
        <v>6839.9</v>
      </c>
      <c r="I319" t="s">
        <v>142</v>
      </c>
      <c r="J319">
        <v>2.06</v>
      </c>
      <c r="K319">
        <v>1859.24</v>
      </c>
    </row>
    <row r="320" spans="1:11">
      <c r="A320" t="s">
        <v>150</v>
      </c>
      <c r="B320" s="4">
        <v>46200</v>
      </c>
      <c r="C320" t="s">
        <v>45</v>
      </c>
      <c r="D320" t="s">
        <v>41</v>
      </c>
      <c r="E320">
        <v>7.8</v>
      </c>
      <c r="F320">
        <v>55993.4</v>
      </c>
      <c r="G320">
        <v>5829</v>
      </c>
      <c r="H320">
        <v>50164.4</v>
      </c>
      <c r="I320" t="s">
        <v>77</v>
      </c>
      <c r="J320">
        <v>2.74</v>
      </c>
      <c r="K320">
        <v>10080.73</v>
      </c>
    </row>
    <row r="321" spans="1:11">
      <c r="A321" t="s">
        <v>71</v>
      </c>
      <c r="B321" s="4">
        <v>45958</v>
      </c>
      <c r="C321" t="s">
        <v>51</v>
      </c>
      <c r="D321" t="s">
        <v>33</v>
      </c>
      <c r="E321">
        <v>10.9</v>
      </c>
      <c r="F321">
        <v>24882.5</v>
      </c>
      <c r="G321">
        <v>886.8</v>
      </c>
      <c r="H321">
        <v>23995.7</v>
      </c>
      <c r="I321" t="s">
        <v>67</v>
      </c>
      <c r="J321">
        <v>5.67</v>
      </c>
      <c r="K321">
        <v>7964.89</v>
      </c>
    </row>
    <row r="322" spans="1:11">
      <c r="A322" t="s">
        <v>230</v>
      </c>
      <c r="B322" s="4">
        <v>45918</v>
      </c>
      <c r="C322" t="s">
        <v>51</v>
      </c>
      <c r="D322" t="s">
        <v>37</v>
      </c>
      <c r="E322">
        <v>5</v>
      </c>
      <c r="F322">
        <v>25935.9</v>
      </c>
      <c r="G322">
        <v>2155.6999999999998</v>
      </c>
      <c r="H322">
        <v>23780.2</v>
      </c>
      <c r="I322" t="s">
        <v>77</v>
      </c>
      <c r="J322">
        <v>8.17</v>
      </c>
      <c r="K322">
        <v>8884.24</v>
      </c>
    </row>
    <row r="323" spans="1:11">
      <c r="A323" t="s">
        <v>129</v>
      </c>
      <c r="B323" s="4">
        <v>46191</v>
      </c>
      <c r="C323" t="s">
        <v>47</v>
      </c>
      <c r="D323" t="s">
        <v>35</v>
      </c>
      <c r="E323">
        <v>9.4</v>
      </c>
      <c r="F323">
        <v>66513.100000000006</v>
      </c>
      <c r="G323">
        <v>7149</v>
      </c>
      <c r="H323">
        <v>59364.1</v>
      </c>
      <c r="I323" t="s">
        <v>77</v>
      </c>
      <c r="J323">
        <v>5.56</v>
      </c>
      <c r="K323">
        <v>10488.06</v>
      </c>
    </row>
    <row r="324" spans="1:11">
      <c r="A324" t="s">
        <v>231</v>
      </c>
      <c r="B324" s="4">
        <v>45958</v>
      </c>
      <c r="C324" t="s">
        <v>51</v>
      </c>
      <c r="D324" t="s">
        <v>41</v>
      </c>
      <c r="E324">
        <v>2.8</v>
      </c>
      <c r="F324">
        <v>20363.2</v>
      </c>
      <c r="G324">
        <v>2676.1</v>
      </c>
      <c r="H324">
        <v>17687.099999999999</v>
      </c>
      <c r="I324" t="s">
        <v>77</v>
      </c>
      <c r="J324">
        <v>2.57</v>
      </c>
      <c r="K324">
        <v>2244.67</v>
      </c>
    </row>
    <row r="325" spans="1:11">
      <c r="A325" t="s">
        <v>169</v>
      </c>
      <c r="B325" s="4">
        <v>45999</v>
      </c>
      <c r="C325" t="s">
        <v>53</v>
      </c>
      <c r="D325" t="s">
        <v>35</v>
      </c>
      <c r="E325">
        <v>3</v>
      </c>
      <c r="F325">
        <v>19985.099999999999</v>
      </c>
      <c r="G325">
        <v>1001.1</v>
      </c>
      <c r="H325">
        <v>18984</v>
      </c>
      <c r="I325" t="s">
        <v>65</v>
      </c>
      <c r="J325">
        <v>6.05</v>
      </c>
      <c r="K325">
        <v>2620.13</v>
      </c>
    </row>
    <row r="326" spans="1:11">
      <c r="A326" t="s">
        <v>226</v>
      </c>
      <c r="B326" s="4">
        <v>45998</v>
      </c>
      <c r="C326" t="s">
        <v>53</v>
      </c>
      <c r="D326" t="s">
        <v>33</v>
      </c>
      <c r="E326">
        <v>12.3</v>
      </c>
      <c r="F326">
        <v>24920.799999999999</v>
      </c>
      <c r="G326">
        <v>1325</v>
      </c>
      <c r="H326">
        <v>23595.8</v>
      </c>
      <c r="I326" t="s">
        <v>67</v>
      </c>
      <c r="J326">
        <v>5.79</v>
      </c>
      <c r="K326">
        <v>19486.439999999999</v>
      </c>
    </row>
    <row r="327" spans="1:11">
      <c r="A327" t="s">
        <v>225</v>
      </c>
      <c r="B327" s="4">
        <v>45888</v>
      </c>
      <c r="C327" t="s">
        <v>51</v>
      </c>
      <c r="D327" t="s">
        <v>31</v>
      </c>
      <c r="E327">
        <v>11.6</v>
      </c>
      <c r="F327">
        <v>17844.3</v>
      </c>
      <c r="G327">
        <v>918.2</v>
      </c>
      <c r="H327">
        <v>16926.099999999999</v>
      </c>
      <c r="I327" t="s">
        <v>70</v>
      </c>
      <c r="J327">
        <v>3.16</v>
      </c>
      <c r="K327">
        <v>17245.96</v>
      </c>
    </row>
    <row r="328" spans="1:11">
      <c r="A328" t="s">
        <v>232</v>
      </c>
      <c r="B328" s="4">
        <v>45929</v>
      </c>
      <c r="C328" t="s">
        <v>53</v>
      </c>
      <c r="D328" t="s">
        <v>33</v>
      </c>
      <c r="E328">
        <v>11.7</v>
      </c>
      <c r="F328">
        <v>26211.200000000001</v>
      </c>
      <c r="G328">
        <v>1751.4</v>
      </c>
      <c r="H328">
        <v>24459.8</v>
      </c>
      <c r="I328" t="s">
        <v>77</v>
      </c>
      <c r="J328">
        <v>6.89</v>
      </c>
      <c r="K328">
        <v>16683.52</v>
      </c>
    </row>
    <row r="329" spans="1:11">
      <c r="A329" t="s">
        <v>161</v>
      </c>
      <c r="B329" s="4">
        <v>45918</v>
      </c>
      <c r="C329" t="s">
        <v>49</v>
      </c>
      <c r="D329" t="s">
        <v>33</v>
      </c>
      <c r="E329">
        <v>2.1</v>
      </c>
      <c r="F329">
        <v>5259.6</v>
      </c>
      <c r="G329">
        <v>649.79999999999995</v>
      </c>
      <c r="H329">
        <v>4609.8</v>
      </c>
      <c r="I329" t="s">
        <v>77</v>
      </c>
      <c r="J329">
        <v>5.87</v>
      </c>
      <c r="K329">
        <v>3224.77</v>
      </c>
    </row>
    <row r="330" spans="1:11">
      <c r="A330" t="s">
        <v>156</v>
      </c>
      <c r="B330" s="4">
        <v>46156</v>
      </c>
      <c r="C330" t="s">
        <v>53</v>
      </c>
      <c r="D330" t="s">
        <v>39</v>
      </c>
      <c r="E330">
        <v>14.9</v>
      </c>
      <c r="F330">
        <v>18025.5</v>
      </c>
      <c r="G330">
        <v>1349</v>
      </c>
      <c r="H330">
        <v>16676.5</v>
      </c>
      <c r="I330" t="s">
        <v>65</v>
      </c>
      <c r="J330">
        <v>4.25</v>
      </c>
      <c r="K330">
        <v>24411.69</v>
      </c>
    </row>
    <row r="331" spans="1:11">
      <c r="A331" t="s">
        <v>103</v>
      </c>
      <c r="B331" s="4">
        <v>45923</v>
      </c>
      <c r="C331" t="s">
        <v>45</v>
      </c>
      <c r="D331" t="s">
        <v>33</v>
      </c>
      <c r="E331">
        <v>12.2</v>
      </c>
      <c r="F331">
        <v>18530.3</v>
      </c>
      <c r="G331">
        <v>2712.1</v>
      </c>
      <c r="H331">
        <v>15818.2</v>
      </c>
      <c r="I331" t="s">
        <v>77</v>
      </c>
      <c r="J331">
        <v>5.79</v>
      </c>
      <c r="K331">
        <v>15070.96</v>
      </c>
    </row>
    <row r="332" spans="1:11">
      <c r="A332" t="s">
        <v>135</v>
      </c>
      <c r="B332" s="4">
        <v>45890</v>
      </c>
      <c r="C332" t="s">
        <v>45</v>
      </c>
      <c r="D332" t="s">
        <v>41</v>
      </c>
      <c r="E332">
        <v>7.2</v>
      </c>
      <c r="F332">
        <v>39470</v>
      </c>
      <c r="G332">
        <v>3061.9</v>
      </c>
      <c r="H332">
        <v>36408.1</v>
      </c>
      <c r="I332" t="s">
        <v>65</v>
      </c>
      <c r="J332">
        <v>2.4900000000000002</v>
      </c>
      <c r="K332">
        <v>9606.83</v>
      </c>
    </row>
    <row r="333" spans="1:11">
      <c r="A333" t="s">
        <v>194</v>
      </c>
      <c r="B333" s="4">
        <v>46186</v>
      </c>
      <c r="C333" t="s">
        <v>51</v>
      </c>
      <c r="D333" t="s">
        <v>39</v>
      </c>
      <c r="E333">
        <v>14.7</v>
      </c>
      <c r="F333">
        <v>19460.099999999999</v>
      </c>
      <c r="G333">
        <v>2529.9</v>
      </c>
      <c r="H333">
        <v>16930.2</v>
      </c>
      <c r="I333" t="s">
        <v>65</v>
      </c>
      <c r="J333">
        <v>4.08</v>
      </c>
      <c r="K333">
        <v>12811.28</v>
      </c>
    </row>
    <row r="334" spans="1:11">
      <c r="A334" t="s">
        <v>82</v>
      </c>
      <c r="B334" s="4">
        <v>46067</v>
      </c>
      <c r="C334" t="s">
        <v>49</v>
      </c>
      <c r="D334" t="s">
        <v>35</v>
      </c>
      <c r="E334">
        <v>9.4</v>
      </c>
      <c r="F334">
        <v>89969.600000000006</v>
      </c>
      <c r="G334">
        <v>1858.4</v>
      </c>
      <c r="H334">
        <v>88111.2</v>
      </c>
      <c r="I334" t="s">
        <v>77</v>
      </c>
      <c r="J334">
        <v>7.61</v>
      </c>
      <c r="K334">
        <v>14096.49</v>
      </c>
    </row>
    <row r="335" spans="1:11">
      <c r="A335" t="s">
        <v>105</v>
      </c>
      <c r="B335" s="4">
        <v>46022</v>
      </c>
      <c r="C335" t="s">
        <v>53</v>
      </c>
      <c r="D335" t="s">
        <v>37</v>
      </c>
      <c r="E335">
        <v>1.9</v>
      </c>
      <c r="F335">
        <v>9411.2999999999993</v>
      </c>
      <c r="G335">
        <v>979</v>
      </c>
      <c r="H335">
        <v>8432.2999999999993</v>
      </c>
      <c r="I335" t="s">
        <v>77</v>
      </c>
      <c r="J335">
        <v>9.02</v>
      </c>
      <c r="K335">
        <v>2708.68</v>
      </c>
    </row>
    <row r="336" spans="1:11">
      <c r="A336" t="s">
        <v>93</v>
      </c>
      <c r="B336" s="4">
        <v>46117</v>
      </c>
      <c r="C336" t="s">
        <v>53</v>
      </c>
      <c r="D336" t="s">
        <v>41</v>
      </c>
      <c r="E336">
        <v>11.7</v>
      </c>
      <c r="F336">
        <v>78360.600000000006</v>
      </c>
      <c r="G336">
        <v>4858.5</v>
      </c>
      <c r="H336">
        <v>73502.100000000006</v>
      </c>
      <c r="I336" t="s">
        <v>70</v>
      </c>
      <c r="J336">
        <v>2.2400000000000002</v>
      </c>
      <c r="K336">
        <v>12187.42</v>
      </c>
    </row>
    <row r="337" spans="1:11">
      <c r="A337" t="s">
        <v>202</v>
      </c>
      <c r="B337" s="4">
        <v>46012</v>
      </c>
      <c r="C337" t="s">
        <v>49</v>
      </c>
      <c r="D337" t="s">
        <v>41</v>
      </c>
      <c r="E337">
        <v>6.5</v>
      </c>
      <c r="F337">
        <v>43143.1</v>
      </c>
      <c r="G337">
        <v>3225.2</v>
      </c>
      <c r="H337">
        <v>39917.9</v>
      </c>
      <c r="I337" t="s">
        <v>77</v>
      </c>
      <c r="J337">
        <v>2.87</v>
      </c>
      <c r="K337">
        <v>4319.95</v>
      </c>
    </row>
    <row r="338" spans="1:11">
      <c r="A338" t="s">
        <v>134</v>
      </c>
      <c r="B338" s="4">
        <v>46131</v>
      </c>
      <c r="C338" t="s">
        <v>49</v>
      </c>
      <c r="D338" t="s">
        <v>39</v>
      </c>
      <c r="E338">
        <v>10.8</v>
      </c>
      <c r="F338">
        <v>20061.3</v>
      </c>
      <c r="G338">
        <v>2025.8</v>
      </c>
      <c r="H338">
        <v>18035.5</v>
      </c>
      <c r="I338" t="s">
        <v>70</v>
      </c>
      <c r="J338">
        <v>4.92</v>
      </c>
      <c r="K338">
        <v>18178.650000000001</v>
      </c>
    </row>
    <row r="339" spans="1:11">
      <c r="A339" t="s">
        <v>113</v>
      </c>
      <c r="B339" s="4">
        <v>45892</v>
      </c>
      <c r="C339" t="s">
        <v>51</v>
      </c>
      <c r="D339" t="s">
        <v>33</v>
      </c>
      <c r="E339">
        <v>5.3</v>
      </c>
      <c r="F339">
        <v>12616.6</v>
      </c>
      <c r="G339">
        <v>282</v>
      </c>
      <c r="H339">
        <v>12334.6</v>
      </c>
      <c r="I339" t="s">
        <v>70</v>
      </c>
      <c r="J339">
        <v>5.16</v>
      </c>
      <c r="K339">
        <v>7798.03</v>
      </c>
    </row>
    <row r="340" spans="1:11">
      <c r="A340" t="s">
        <v>89</v>
      </c>
      <c r="B340" s="4">
        <v>46082</v>
      </c>
      <c r="C340" t="s">
        <v>53</v>
      </c>
      <c r="D340" t="s">
        <v>31</v>
      </c>
      <c r="E340">
        <v>10.4</v>
      </c>
      <c r="F340">
        <v>18689</v>
      </c>
      <c r="G340">
        <v>2706.3</v>
      </c>
      <c r="H340">
        <v>15982.7</v>
      </c>
      <c r="I340" t="s">
        <v>65</v>
      </c>
      <c r="J340">
        <v>3.13</v>
      </c>
      <c r="K340">
        <v>7863.65</v>
      </c>
    </row>
    <row r="341" spans="1:11">
      <c r="A341" t="s">
        <v>86</v>
      </c>
      <c r="B341" s="4">
        <v>45969</v>
      </c>
      <c r="C341" t="s">
        <v>45</v>
      </c>
      <c r="D341" t="s">
        <v>31</v>
      </c>
      <c r="E341">
        <v>8.8000000000000007</v>
      </c>
      <c r="F341">
        <v>13590.8</v>
      </c>
      <c r="G341">
        <v>665.5</v>
      </c>
      <c r="H341">
        <v>12925.3</v>
      </c>
      <c r="I341" t="s">
        <v>67</v>
      </c>
      <c r="J341">
        <v>3.3</v>
      </c>
      <c r="K341">
        <v>5881.56</v>
      </c>
    </row>
    <row r="342" spans="1:11">
      <c r="A342" t="s">
        <v>233</v>
      </c>
      <c r="B342" s="4">
        <v>46116</v>
      </c>
      <c r="C342" t="s">
        <v>51</v>
      </c>
      <c r="D342" t="s">
        <v>39</v>
      </c>
      <c r="E342">
        <v>10.9</v>
      </c>
      <c r="F342">
        <v>11691.2</v>
      </c>
      <c r="G342">
        <v>566.5</v>
      </c>
      <c r="H342">
        <v>11124.7</v>
      </c>
      <c r="I342" t="s">
        <v>70</v>
      </c>
      <c r="J342">
        <v>4.01</v>
      </c>
      <c r="K342">
        <v>11700.89</v>
      </c>
    </row>
    <row r="343" spans="1:11">
      <c r="A343" t="s">
        <v>95</v>
      </c>
      <c r="B343" s="4">
        <v>45946</v>
      </c>
      <c r="C343" t="s">
        <v>51</v>
      </c>
      <c r="D343" t="s">
        <v>33</v>
      </c>
      <c r="E343">
        <v>10.5</v>
      </c>
      <c r="F343">
        <v>28542.5</v>
      </c>
      <c r="G343">
        <v>4327.7</v>
      </c>
      <c r="H343">
        <v>24214.799999999999</v>
      </c>
      <c r="I343" t="s">
        <v>67</v>
      </c>
      <c r="J343">
        <v>5.71</v>
      </c>
      <c r="K343">
        <v>10444.41</v>
      </c>
    </row>
    <row r="344" spans="1:11">
      <c r="A344" t="s">
        <v>234</v>
      </c>
      <c r="B344" s="4">
        <v>45927</v>
      </c>
      <c r="C344" t="s">
        <v>47</v>
      </c>
      <c r="D344" t="s">
        <v>31</v>
      </c>
      <c r="E344">
        <v>4.5999999999999996</v>
      </c>
      <c r="F344">
        <v>6060.3</v>
      </c>
      <c r="G344">
        <v>696.8</v>
      </c>
      <c r="H344">
        <v>5363.5</v>
      </c>
      <c r="I344" t="s">
        <v>70</v>
      </c>
      <c r="J344">
        <v>3.13</v>
      </c>
      <c r="K344">
        <v>3561.71</v>
      </c>
    </row>
    <row r="345" spans="1:11">
      <c r="A345" t="s">
        <v>235</v>
      </c>
      <c r="B345" s="4">
        <v>46060</v>
      </c>
      <c r="C345" t="s">
        <v>49</v>
      </c>
      <c r="D345" t="s">
        <v>39</v>
      </c>
      <c r="E345">
        <v>14</v>
      </c>
      <c r="F345">
        <v>16346.7</v>
      </c>
      <c r="G345">
        <v>2583.1999999999998</v>
      </c>
      <c r="H345">
        <v>13763.5</v>
      </c>
      <c r="I345" t="s">
        <v>65</v>
      </c>
      <c r="J345">
        <v>4.2</v>
      </c>
      <c r="K345">
        <v>21911.26</v>
      </c>
    </row>
    <row r="346" spans="1:11">
      <c r="A346" t="s">
        <v>108</v>
      </c>
      <c r="B346" s="4">
        <v>45848</v>
      </c>
      <c r="C346" t="s">
        <v>49</v>
      </c>
      <c r="D346" t="s">
        <v>37</v>
      </c>
      <c r="E346">
        <v>1.5</v>
      </c>
      <c r="F346">
        <v>6788.4</v>
      </c>
      <c r="G346">
        <v>939.3</v>
      </c>
      <c r="H346">
        <v>5849.1</v>
      </c>
      <c r="I346" t="s">
        <v>65</v>
      </c>
      <c r="J346">
        <v>10.3</v>
      </c>
      <c r="K346">
        <v>1264.67</v>
      </c>
    </row>
    <row r="347" spans="1:11">
      <c r="A347" t="s">
        <v>102</v>
      </c>
      <c r="B347" s="4">
        <v>46043</v>
      </c>
      <c r="C347" t="s">
        <v>53</v>
      </c>
      <c r="D347" t="s">
        <v>37</v>
      </c>
      <c r="E347">
        <v>6.8</v>
      </c>
      <c r="F347">
        <v>33157.800000000003</v>
      </c>
      <c r="G347">
        <v>5086.5</v>
      </c>
      <c r="H347">
        <v>28071.3</v>
      </c>
      <c r="I347" t="s">
        <v>67</v>
      </c>
      <c r="J347">
        <v>8</v>
      </c>
      <c r="K347">
        <v>5944.43</v>
      </c>
    </row>
    <row r="348" spans="1:11">
      <c r="A348" t="s">
        <v>110</v>
      </c>
      <c r="B348" s="4">
        <v>45986</v>
      </c>
      <c r="C348" t="s">
        <v>49</v>
      </c>
      <c r="D348" t="s">
        <v>31</v>
      </c>
      <c r="E348">
        <v>9.1999999999999993</v>
      </c>
      <c r="F348">
        <v>11549.1</v>
      </c>
      <c r="G348">
        <v>1289.8</v>
      </c>
      <c r="H348">
        <v>10259.299999999999</v>
      </c>
      <c r="I348" t="s">
        <v>77</v>
      </c>
      <c r="J348">
        <v>3.6</v>
      </c>
      <c r="K348">
        <v>6656.15</v>
      </c>
    </row>
    <row r="349" spans="1:11">
      <c r="A349" t="s">
        <v>73</v>
      </c>
      <c r="B349" s="4">
        <v>45934</v>
      </c>
      <c r="C349" t="s">
        <v>53</v>
      </c>
      <c r="D349" t="s">
        <v>35</v>
      </c>
      <c r="E349">
        <v>2.2999999999999998</v>
      </c>
      <c r="F349">
        <v>17345.8</v>
      </c>
      <c r="G349">
        <v>2523</v>
      </c>
      <c r="H349">
        <v>14822.8</v>
      </c>
      <c r="I349" t="s">
        <v>67</v>
      </c>
      <c r="J349">
        <v>7.69</v>
      </c>
      <c r="K349">
        <v>3671.48</v>
      </c>
    </row>
    <row r="350" spans="1:11">
      <c r="A350" t="s">
        <v>173</v>
      </c>
      <c r="B350" s="4">
        <v>45870</v>
      </c>
      <c r="C350" t="s">
        <v>49</v>
      </c>
      <c r="D350" t="s">
        <v>31</v>
      </c>
      <c r="E350">
        <v>2.6</v>
      </c>
      <c r="F350">
        <v>3709.2</v>
      </c>
      <c r="G350">
        <v>99.6</v>
      </c>
      <c r="H350">
        <v>3609.6</v>
      </c>
      <c r="I350" t="s">
        <v>70</v>
      </c>
      <c r="J350">
        <v>3.54</v>
      </c>
      <c r="K350">
        <v>2197.7600000000002</v>
      </c>
    </row>
    <row r="351" spans="1:11">
      <c r="A351" t="s">
        <v>69</v>
      </c>
      <c r="B351" s="4">
        <v>45927</v>
      </c>
      <c r="C351" t="s">
        <v>49</v>
      </c>
      <c r="D351" t="s">
        <v>31</v>
      </c>
      <c r="E351">
        <v>2.2000000000000002</v>
      </c>
      <c r="F351">
        <v>5240.3999999999996</v>
      </c>
      <c r="G351">
        <v>782.4</v>
      </c>
      <c r="H351">
        <v>4458</v>
      </c>
      <c r="I351" t="s">
        <v>67</v>
      </c>
      <c r="J351">
        <v>3.57</v>
      </c>
      <c r="K351">
        <v>1939.34</v>
      </c>
    </row>
    <row r="352" spans="1:11">
      <c r="A352" t="s">
        <v>92</v>
      </c>
      <c r="B352" s="4">
        <v>45872</v>
      </c>
      <c r="C352" t="s">
        <v>49</v>
      </c>
      <c r="D352" t="s">
        <v>41</v>
      </c>
      <c r="E352">
        <v>13.9</v>
      </c>
      <c r="F352">
        <v>60902.3</v>
      </c>
      <c r="G352">
        <v>6634</v>
      </c>
      <c r="H352">
        <v>54268.3</v>
      </c>
      <c r="I352" t="s">
        <v>67</v>
      </c>
      <c r="J352">
        <v>2.2599999999999998</v>
      </c>
      <c r="K352">
        <v>9377.76</v>
      </c>
    </row>
    <row r="353" spans="1:11">
      <c r="A353" t="s">
        <v>236</v>
      </c>
      <c r="B353" s="4">
        <v>46118</v>
      </c>
      <c r="C353" t="s">
        <v>53</v>
      </c>
      <c r="D353" t="s">
        <v>41</v>
      </c>
      <c r="E353">
        <v>4.5999999999999996</v>
      </c>
      <c r="F353">
        <v>23169.599999999999</v>
      </c>
      <c r="G353">
        <v>1960</v>
      </c>
      <c r="H353">
        <v>21209.599999999999</v>
      </c>
      <c r="I353" t="s">
        <v>65</v>
      </c>
      <c r="J353">
        <v>2.2999999999999998</v>
      </c>
      <c r="K353">
        <v>3628.77</v>
      </c>
    </row>
    <row r="354" spans="1:11">
      <c r="A354" t="s">
        <v>79</v>
      </c>
      <c r="B354" s="4">
        <v>46130</v>
      </c>
      <c r="C354" t="s">
        <v>53</v>
      </c>
      <c r="D354" t="s">
        <v>35</v>
      </c>
      <c r="E354">
        <v>14.8</v>
      </c>
      <c r="F354">
        <v>139776.70000000001</v>
      </c>
      <c r="G354">
        <v>7447.3</v>
      </c>
      <c r="H354">
        <v>132329.4</v>
      </c>
      <c r="I354" t="s">
        <v>142</v>
      </c>
      <c r="J354">
        <v>7.03</v>
      </c>
      <c r="K354">
        <v>20801.72</v>
      </c>
    </row>
    <row r="355" spans="1:11">
      <c r="A355" t="s">
        <v>79</v>
      </c>
      <c r="B355" s="4">
        <v>46040</v>
      </c>
      <c r="C355" t="s">
        <v>51</v>
      </c>
      <c r="D355" t="s">
        <v>33</v>
      </c>
      <c r="E355">
        <v>7.7</v>
      </c>
      <c r="F355">
        <v>21879.599999999999</v>
      </c>
      <c r="G355">
        <v>1850.5</v>
      </c>
      <c r="H355">
        <v>20029.099999999999</v>
      </c>
      <c r="I355" t="s">
        <v>70</v>
      </c>
      <c r="J355">
        <v>6.04</v>
      </c>
      <c r="K355">
        <v>13027.43</v>
      </c>
    </row>
    <row r="356" spans="1:11">
      <c r="A356" t="s">
        <v>183</v>
      </c>
      <c r="B356" s="4">
        <v>46187</v>
      </c>
      <c r="C356" t="s">
        <v>45</v>
      </c>
      <c r="D356" t="s">
        <v>41</v>
      </c>
      <c r="E356">
        <v>13.4</v>
      </c>
      <c r="F356">
        <v>107241.2</v>
      </c>
      <c r="G356">
        <v>6516.6</v>
      </c>
      <c r="H356">
        <v>100724.6</v>
      </c>
      <c r="I356" t="s">
        <v>70</v>
      </c>
      <c r="J356">
        <v>2.29</v>
      </c>
      <c r="K356">
        <v>23779.759999999998</v>
      </c>
    </row>
    <row r="357" spans="1:11">
      <c r="A357" t="s">
        <v>237</v>
      </c>
      <c r="B357" s="4">
        <v>45856</v>
      </c>
      <c r="C357" t="s">
        <v>49</v>
      </c>
      <c r="D357" t="s">
        <v>35</v>
      </c>
      <c r="E357">
        <v>11.5</v>
      </c>
      <c r="F357">
        <v>85031.7</v>
      </c>
      <c r="G357">
        <v>4214.2</v>
      </c>
      <c r="H357">
        <v>80817.5</v>
      </c>
      <c r="I357" t="s">
        <v>70</v>
      </c>
      <c r="J357">
        <v>5.73</v>
      </c>
      <c r="K357">
        <v>16161.1</v>
      </c>
    </row>
    <row r="358" spans="1:11">
      <c r="A358" t="s">
        <v>215</v>
      </c>
      <c r="B358" s="4">
        <v>46103</v>
      </c>
      <c r="C358" t="s">
        <v>53</v>
      </c>
      <c r="D358" t="s">
        <v>35</v>
      </c>
      <c r="E358">
        <v>3.9</v>
      </c>
      <c r="F358">
        <v>37674.1</v>
      </c>
      <c r="G358">
        <v>5118.8</v>
      </c>
      <c r="H358">
        <v>32555.3</v>
      </c>
      <c r="I358" t="s">
        <v>77</v>
      </c>
      <c r="J358">
        <v>7.77</v>
      </c>
      <c r="K358">
        <v>5793.22</v>
      </c>
    </row>
    <row r="359" spans="1:11">
      <c r="A359" t="s">
        <v>183</v>
      </c>
      <c r="B359" s="4">
        <v>46151</v>
      </c>
      <c r="C359" t="s">
        <v>45</v>
      </c>
      <c r="D359" t="s">
        <v>41</v>
      </c>
      <c r="E359">
        <v>2.6</v>
      </c>
      <c r="F359">
        <v>18200.400000000001</v>
      </c>
      <c r="G359">
        <v>686.5</v>
      </c>
      <c r="H359">
        <v>17513.900000000001</v>
      </c>
      <c r="I359" t="s">
        <v>65</v>
      </c>
      <c r="J359">
        <v>2.31</v>
      </c>
      <c r="K359">
        <v>4370.71</v>
      </c>
    </row>
    <row r="360" spans="1:11">
      <c r="A360" t="s">
        <v>117</v>
      </c>
      <c r="B360" s="4">
        <v>46154</v>
      </c>
      <c r="C360" t="s">
        <v>49</v>
      </c>
      <c r="D360" t="s">
        <v>37</v>
      </c>
      <c r="E360">
        <v>1.8</v>
      </c>
      <c r="F360">
        <v>9212.2000000000007</v>
      </c>
      <c r="G360">
        <v>295.10000000000002</v>
      </c>
      <c r="H360">
        <v>8917.1</v>
      </c>
      <c r="I360" t="s">
        <v>70</v>
      </c>
      <c r="J360">
        <v>8.36</v>
      </c>
      <c r="K360">
        <v>2707.91</v>
      </c>
    </row>
    <row r="361" spans="1:11">
      <c r="A361" t="s">
        <v>130</v>
      </c>
      <c r="B361" s="4">
        <v>46204</v>
      </c>
      <c r="C361" t="s">
        <v>49</v>
      </c>
      <c r="D361" t="s">
        <v>33</v>
      </c>
      <c r="E361">
        <v>2.5</v>
      </c>
      <c r="F361">
        <v>5470</v>
      </c>
      <c r="G361">
        <v>551.6</v>
      </c>
      <c r="H361">
        <v>4918.3999999999996</v>
      </c>
      <c r="I361" t="s">
        <v>67</v>
      </c>
      <c r="J361">
        <v>5.65</v>
      </c>
      <c r="K361">
        <v>3434.21</v>
      </c>
    </row>
    <row r="362" spans="1:11">
      <c r="A362" t="s">
        <v>219</v>
      </c>
      <c r="B362" s="4">
        <v>45873</v>
      </c>
      <c r="C362" t="s">
        <v>51</v>
      </c>
      <c r="D362" t="s">
        <v>37</v>
      </c>
      <c r="E362">
        <v>10.3</v>
      </c>
      <c r="F362">
        <v>45761.8</v>
      </c>
      <c r="G362">
        <v>5389.7</v>
      </c>
      <c r="H362">
        <v>40372.1</v>
      </c>
      <c r="I362" t="s">
        <v>65</v>
      </c>
      <c r="J362">
        <v>10.69</v>
      </c>
      <c r="K362">
        <v>13176</v>
      </c>
    </row>
    <row r="363" spans="1:11">
      <c r="A363" t="s">
        <v>74</v>
      </c>
      <c r="B363" s="4">
        <v>46108</v>
      </c>
      <c r="C363" t="s">
        <v>47</v>
      </c>
      <c r="D363" t="s">
        <v>35</v>
      </c>
      <c r="E363">
        <v>9.6999999999999993</v>
      </c>
      <c r="F363">
        <v>56178.400000000001</v>
      </c>
      <c r="G363">
        <v>5574.2</v>
      </c>
      <c r="H363">
        <v>50604.2</v>
      </c>
      <c r="I363" t="s">
        <v>67</v>
      </c>
      <c r="J363">
        <v>5.8</v>
      </c>
      <c r="K363">
        <v>15095.59</v>
      </c>
    </row>
    <row r="364" spans="1:11">
      <c r="A364" t="s">
        <v>102</v>
      </c>
      <c r="B364" s="4">
        <v>46013</v>
      </c>
      <c r="C364" t="s">
        <v>45</v>
      </c>
      <c r="D364" t="s">
        <v>35</v>
      </c>
      <c r="E364">
        <v>14</v>
      </c>
      <c r="F364">
        <v>84366</v>
      </c>
      <c r="G364">
        <v>9444.2000000000007</v>
      </c>
      <c r="H364">
        <v>74921.8</v>
      </c>
      <c r="I364" t="s">
        <v>67</v>
      </c>
      <c r="J364">
        <v>6.11</v>
      </c>
      <c r="K364">
        <v>20342.13</v>
      </c>
    </row>
    <row r="365" spans="1:11">
      <c r="A365" t="s">
        <v>84</v>
      </c>
      <c r="B365" s="4">
        <v>45948</v>
      </c>
      <c r="C365" t="s">
        <v>49</v>
      </c>
      <c r="D365" t="s">
        <v>33</v>
      </c>
      <c r="E365">
        <v>14</v>
      </c>
      <c r="F365">
        <v>39136.1</v>
      </c>
      <c r="G365">
        <v>3149.9</v>
      </c>
      <c r="H365">
        <v>35986.199999999997</v>
      </c>
      <c r="I365" t="s">
        <v>142</v>
      </c>
      <c r="J365">
        <v>6.67</v>
      </c>
      <c r="K365">
        <v>13969.14</v>
      </c>
    </row>
    <row r="366" spans="1:11">
      <c r="A366" t="s">
        <v>189</v>
      </c>
      <c r="B366" s="4">
        <v>45867</v>
      </c>
      <c r="C366" t="s">
        <v>53</v>
      </c>
      <c r="D366" t="s">
        <v>35</v>
      </c>
      <c r="E366">
        <v>9.5</v>
      </c>
      <c r="F366">
        <v>52020.2</v>
      </c>
      <c r="G366">
        <v>3904.6</v>
      </c>
      <c r="H366">
        <v>48115.6</v>
      </c>
      <c r="I366" t="s">
        <v>77</v>
      </c>
      <c r="J366">
        <v>6.41</v>
      </c>
      <c r="K366">
        <v>10286.07</v>
      </c>
    </row>
    <row r="367" spans="1:11">
      <c r="A367" t="s">
        <v>195</v>
      </c>
      <c r="B367" s="4">
        <v>46137</v>
      </c>
      <c r="C367" t="s">
        <v>53</v>
      </c>
      <c r="D367" t="s">
        <v>37</v>
      </c>
      <c r="E367">
        <v>2.8</v>
      </c>
      <c r="F367">
        <v>12294.5</v>
      </c>
      <c r="G367">
        <v>1798.7</v>
      </c>
      <c r="H367">
        <v>10495.8</v>
      </c>
      <c r="I367" t="s">
        <v>77</v>
      </c>
      <c r="J367">
        <v>8.94</v>
      </c>
      <c r="K367">
        <v>2861.38</v>
      </c>
    </row>
    <row r="368" spans="1:11">
      <c r="A368" t="s">
        <v>197</v>
      </c>
      <c r="B368" s="4">
        <v>46094</v>
      </c>
      <c r="C368" t="s">
        <v>53</v>
      </c>
      <c r="D368" t="s">
        <v>33</v>
      </c>
      <c r="E368">
        <v>5.3</v>
      </c>
      <c r="F368">
        <v>12546.2</v>
      </c>
      <c r="G368">
        <v>736.1</v>
      </c>
      <c r="H368">
        <v>11810.1</v>
      </c>
      <c r="I368" t="s">
        <v>70</v>
      </c>
      <c r="J368">
        <v>6.27</v>
      </c>
      <c r="K368">
        <v>4841.7700000000004</v>
      </c>
    </row>
    <row r="369" spans="1:11">
      <c r="A369" t="s">
        <v>177</v>
      </c>
      <c r="B369" s="4">
        <v>46143</v>
      </c>
      <c r="C369" t="s">
        <v>49</v>
      </c>
      <c r="D369" t="s">
        <v>35</v>
      </c>
      <c r="E369">
        <v>12.3</v>
      </c>
      <c r="F369">
        <v>96242.9</v>
      </c>
      <c r="G369">
        <v>11240</v>
      </c>
      <c r="H369">
        <v>85002.9</v>
      </c>
      <c r="I369" t="s">
        <v>70</v>
      </c>
      <c r="J369">
        <v>7.46</v>
      </c>
      <c r="K369">
        <v>21472.43</v>
      </c>
    </row>
    <row r="370" spans="1:11">
      <c r="A370" t="s">
        <v>171</v>
      </c>
      <c r="B370" s="4">
        <v>45839</v>
      </c>
      <c r="C370" t="s">
        <v>51</v>
      </c>
      <c r="D370" t="s">
        <v>33</v>
      </c>
      <c r="E370">
        <v>9.4</v>
      </c>
      <c r="F370">
        <v>21185.9</v>
      </c>
      <c r="G370">
        <v>849.7</v>
      </c>
      <c r="H370">
        <v>20336.2</v>
      </c>
      <c r="I370" t="s">
        <v>70</v>
      </c>
      <c r="J370">
        <v>6.83</v>
      </c>
      <c r="K370">
        <v>12329.66</v>
      </c>
    </row>
    <row r="371" spans="1:11">
      <c r="A371" t="s">
        <v>187</v>
      </c>
      <c r="B371" s="4">
        <v>46089</v>
      </c>
      <c r="C371" t="s">
        <v>53</v>
      </c>
      <c r="D371" t="s">
        <v>37</v>
      </c>
      <c r="E371">
        <v>7.5</v>
      </c>
      <c r="F371">
        <v>46005</v>
      </c>
      <c r="G371">
        <v>5564.4</v>
      </c>
      <c r="H371">
        <v>40440.6</v>
      </c>
      <c r="I371" t="s">
        <v>65</v>
      </c>
      <c r="J371">
        <v>9.27</v>
      </c>
      <c r="K371">
        <v>13463.47</v>
      </c>
    </row>
    <row r="372" spans="1:11">
      <c r="A372" t="s">
        <v>131</v>
      </c>
      <c r="B372" s="4">
        <v>46167</v>
      </c>
      <c r="C372" t="s">
        <v>47</v>
      </c>
      <c r="D372" t="s">
        <v>35</v>
      </c>
      <c r="E372">
        <v>10.3</v>
      </c>
      <c r="F372">
        <v>84021.9</v>
      </c>
      <c r="G372">
        <v>3521.8</v>
      </c>
      <c r="H372">
        <v>80500.100000000006</v>
      </c>
      <c r="I372" t="s">
        <v>67</v>
      </c>
      <c r="J372">
        <v>5.58</v>
      </c>
      <c r="K372">
        <v>15870.77</v>
      </c>
    </row>
    <row r="373" spans="1:11">
      <c r="A373" t="s">
        <v>238</v>
      </c>
      <c r="B373" s="4">
        <v>46184</v>
      </c>
      <c r="C373" t="s">
        <v>51</v>
      </c>
      <c r="D373" t="s">
        <v>35</v>
      </c>
      <c r="E373">
        <v>8</v>
      </c>
      <c r="F373">
        <v>69553.600000000006</v>
      </c>
      <c r="G373">
        <v>2974.6</v>
      </c>
      <c r="H373">
        <v>66579</v>
      </c>
      <c r="I373" t="s">
        <v>65</v>
      </c>
      <c r="J373">
        <v>7.55</v>
      </c>
      <c r="K373">
        <v>14106.04</v>
      </c>
    </row>
    <row r="374" spans="1:11">
      <c r="A374" t="s">
        <v>192</v>
      </c>
      <c r="B374" s="4">
        <v>45949</v>
      </c>
      <c r="C374" t="s">
        <v>53</v>
      </c>
      <c r="D374" t="s">
        <v>31</v>
      </c>
      <c r="E374">
        <v>1.8</v>
      </c>
      <c r="F374">
        <v>3089.1</v>
      </c>
      <c r="G374">
        <v>378.6</v>
      </c>
      <c r="H374">
        <v>2710.5</v>
      </c>
      <c r="I374" t="s">
        <v>77</v>
      </c>
      <c r="J374">
        <v>3.24</v>
      </c>
      <c r="K374">
        <v>1527.31</v>
      </c>
    </row>
    <row r="375" spans="1:11">
      <c r="A375" t="s">
        <v>212</v>
      </c>
      <c r="B375" s="4">
        <v>45946</v>
      </c>
      <c r="C375" t="s">
        <v>53</v>
      </c>
      <c r="D375" t="s">
        <v>31</v>
      </c>
      <c r="E375">
        <v>3.5</v>
      </c>
      <c r="F375">
        <v>5310.3</v>
      </c>
      <c r="G375">
        <v>813.2</v>
      </c>
      <c r="H375">
        <v>4497.1000000000004</v>
      </c>
      <c r="I375" t="s">
        <v>65</v>
      </c>
      <c r="J375">
        <v>2.92</v>
      </c>
      <c r="K375">
        <v>5904.06</v>
      </c>
    </row>
    <row r="376" spans="1:11">
      <c r="A376" t="s">
        <v>201</v>
      </c>
      <c r="B376" s="4">
        <v>46006</v>
      </c>
      <c r="C376" t="s">
        <v>47</v>
      </c>
      <c r="D376" t="s">
        <v>33</v>
      </c>
      <c r="E376">
        <v>14.1</v>
      </c>
      <c r="F376">
        <v>31234.400000000001</v>
      </c>
      <c r="G376">
        <v>3098.3</v>
      </c>
      <c r="H376">
        <v>28136.1</v>
      </c>
      <c r="I376" t="s">
        <v>67</v>
      </c>
      <c r="J376">
        <v>6.7</v>
      </c>
      <c r="K376">
        <v>15391.94</v>
      </c>
    </row>
    <row r="377" spans="1:11">
      <c r="A377" t="s">
        <v>206</v>
      </c>
      <c r="B377" s="4">
        <v>46058</v>
      </c>
      <c r="C377" t="s">
        <v>49</v>
      </c>
      <c r="D377" t="s">
        <v>31</v>
      </c>
      <c r="E377">
        <v>2.1</v>
      </c>
      <c r="F377">
        <v>3030.5</v>
      </c>
      <c r="G377">
        <v>126.6</v>
      </c>
      <c r="H377">
        <v>2903.9</v>
      </c>
      <c r="I377" t="s">
        <v>77</v>
      </c>
      <c r="J377">
        <v>3.06</v>
      </c>
      <c r="K377">
        <v>1895.22</v>
      </c>
    </row>
    <row r="378" spans="1:11">
      <c r="A378" t="s">
        <v>195</v>
      </c>
      <c r="B378" s="4">
        <v>45988</v>
      </c>
      <c r="C378" t="s">
        <v>53</v>
      </c>
      <c r="D378" t="s">
        <v>33</v>
      </c>
      <c r="E378">
        <v>1.1000000000000001</v>
      </c>
      <c r="F378">
        <v>3084.2</v>
      </c>
      <c r="G378">
        <v>327.7</v>
      </c>
      <c r="H378">
        <v>2756.5</v>
      </c>
      <c r="I378" t="s">
        <v>70</v>
      </c>
      <c r="J378">
        <v>5.26</v>
      </c>
      <c r="K378">
        <v>1180.44</v>
      </c>
    </row>
    <row r="379" spans="1:11">
      <c r="A379" t="s">
        <v>207</v>
      </c>
      <c r="B379" s="4">
        <v>46130</v>
      </c>
      <c r="C379" t="s">
        <v>53</v>
      </c>
      <c r="D379" t="s">
        <v>31</v>
      </c>
      <c r="E379">
        <v>11.6</v>
      </c>
      <c r="F379">
        <v>25344.9</v>
      </c>
      <c r="G379">
        <v>3132.6</v>
      </c>
      <c r="H379">
        <v>22212.3</v>
      </c>
      <c r="I379" t="s">
        <v>70</v>
      </c>
      <c r="J379">
        <v>3.49</v>
      </c>
      <c r="K379">
        <v>13989.22</v>
      </c>
    </row>
    <row r="380" spans="1:11">
      <c r="A380" t="s">
        <v>168</v>
      </c>
      <c r="B380" s="4">
        <v>46058</v>
      </c>
      <c r="C380" t="s">
        <v>51</v>
      </c>
      <c r="D380" t="s">
        <v>33</v>
      </c>
      <c r="E380">
        <v>9.3000000000000007</v>
      </c>
      <c r="F380">
        <v>25891.7</v>
      </c>
      <c r="G380">
        <v>1177.2</v>
      </c>
      <c r="H380">
        <v>24714.5</v>
      </c>
      <c r="I380" t="s">
        <v>70</v>
      </c>
      <c r="J380">
        <v>6.83</v>
      </c>
      <c r="K380">
        <v>7426.56</v>
      </c>
    </row>
    <row r="381" spans="1:11">
      <c r="A381" t="s">
        <v>239</v>
      </c>
      <c r="B381" s="4">
        <v>46092</v>
      </c>
      <c r="C381" t="s">
        <v>49</v>
      </c>
      <c r="D381" t="s">
        <v>33</v>
      </c>
      <c r="E381">
        <v>4.9000000000000004</v>
      </c>
      <c r="F381">
        <v>7898.6</v>
      </c>
      <c r="G381">
        <v>516.20000000000005</v>
      </c>
      <c r="H381">
        <v>7382.4</v>
      </c>
      <c r="I381" t="s">
        <v>67</v>
      </c>
      <c r="J381">
        <v>6.04</v>
      </c>
      <c r="K381">
        <v>8572.0499999999993</v>
      </c>
    </row>
    <row r="382" spans="1:11">
      <c r="A382" t="s">
        <v>183</v>
      </c>
      <c r="B382" s="4">
        <v>46120</v>
      </c>
      <c r="C382" t="s">
        <v>49</v>
      </c>
      <c r="D382" t="s">
        <v>39</v>
      </c>
      <c r="E382">
        <v>5.7</v>
      </c>
      <c r="F382">
        <v>10477.4</v>
      </c>
      <c r="G382">
        <v>567.9</v>
      </c>
      <c r="H382">
        <v>9909.5</v>
      </c>
      <c r="I382" t="s">
        <v>77</v>
      </c>
      <c r="J382">
        <v>4.45</v>
      </c>
      <c r="K382">
        <v>8030.66</v>
      </c>
    </row>
    <row r="383" spans="1:11">
      <c r="A383" t="s">
        <v>117</v>
      </c>
      <c r="B383" s="4">
        <v>46128</v>
      </c>
      <c r="C383" t="s">
        <v>51</v>
      </c>
      <c r="D383" t="s">
        <v>37</v>
      </c>
      <c r="E383">
        <v>7.4</v>
      </c>
      <c r="F383">
        <v>27282.5</v>
      </c>
      <c r="G383">
        <v>3348.9</v>
      </c>
      <c r="H383">
        <v>23933.599999999999</v>
      </c>
      <c r="I383" t="s">
        <v>65</v>
      </c>
      <c r="J383">
        <v>8.5299999999999994</v>
      </c>
      <c r="K383">
        <v>12478.36</v>
      </c>
    </row>
    <row r="384" spans="1:11">
      <c r="A384" t="s">
        <v>240</v>
      </c>
      <c r="B384" s="4">
        <v>45937</v>
      </c>
      <c r="C384" t="s">
        <v>49</v>
      </c>
      <c r="D384" t="s">
        <v>31</v>
      </c>
      <c r="E384">
        <v>14.3</v>
      </c>
      <c r="F384">
        <v>19558</v>
      </c>
      <c r="G384">
        <v>1610</v>
      </c>
      <c r="H384">
        <v>17948</v>
      </c>
      <c r="I384" t="s">
        <v>70</v>
      </c>
      <c r="J384">
        <v>3.03</v>
      </c>
      <c r="K384">
        <v>13126.97</v>
      </c>
    </row>
    <row r="385" spans="1:11">
      <c r="A385" t="s">
        <v>141</v>
      </c>
      <c r="B385" s="4">
        <v>46014</v>
      </c>
      <c r="C385" t="s">
        <v>53</v>
      </c>
      <c r="D385" t="s">
        <v>41</v>
      </c>
      <c r="E385">
        <v>10.4</v>
      </c>
      <c r="F385">
        <v>41023.199999999997</v>
      </c>
      <c r="G385">
        <v>1175</v>
      </c>
      <c r="H385">
        <v>39848.199999999997</v>
      </c>
      <c r="I385" t="s">
        <v>65</v>
      </c>
      <c r="J385">
        <v>2.4</v>
      </c>
      <c r="K385">
        <v>15083.17</v>
      </c>
    </row>
    <row r="386" spans="1:11">
      <c r="A386" t="s">
        <v>133</v>
      </c>
      <c r="B386" s="4">
        <v>45984</v>
      </c>
      <c r="C386" t="s">
        <v>51</v>
      </c>
      <c r="D386" t="s">
        <v>31</v>
      </c>
      <c r="E386">
        <v>2.1</v>
      </c>
      <c r="F386">
        <v>3255</v>
      </c>
      <c r="G386">
        <v>188.8</v>
      </c>
      <c r="H386">
        <v>3066.2</v>
      </c>
      <c r="I386" t="s">
        <v>77</v>
      </c>
      <c r="J386">
        <v>3.35</v>
      </c>
      <c r="K386">
        <v>1871.14</v>
      </c>
    </row>
    <row r="387" spans="1:11">
      <c r="A387" t="s">
        <v>73</v>
      </c>
      <c r="B387" s="4">
        <v>45874</v>
      </c>
      <c r="C387" t="s">
        <v>45</v>
      </c>
      <c r="D387" t="s">
        <v>37</v>
      </c>
      <c r="E387">
        <v>4.9000000000000004</v>
      </c>
      <c r="F387">
        <v>18116.900000000001</v>
      </c>
      <c r="G387">
        <v>1946.5</v>
      </c>
      <c r="H387">
        <v>16170.4</v>
      </c>
      <c r="I387" t="s">
        <v>70</v>
      </c>
      <c r="J387">
        <v>7.79</v>
      </c>
      <c r="K387">
        <v>5316.06</v>
      </c>
    </row>
    <row r="388" spans="1:11">
      <c r="A388" t="s">
        <v>241</v>
      </c>
      <c r="B388" s="4">
        <v>46184</v>
      </c>
      <c r="C388" t="s">
        <v>51</v>
      </c>
      <c r="D388" t="s">
        <v>37</v>
      </c>
      <c r="E388">
        <v>7.7</v>
      </c>
      <c r="F388">
        <v>48419.9</v>
      </c>
      <c r="G388">
        <v>3217.3</v>
      </c>
      <c r="H388">
        <v>45202.6</v>
      </c>
      <c r="I388" t="s">
        <v>77</v>
      </c>
      <c r="J388">
        <v>10.039999999999999</v>
      </c>
      <c r="K388">
        <v>10588.52</v>
      </c>
    </row>
    <row r="389" spans="1:11">
      <c r="A389" t="s">
        <v>180</v>
      </c>
      <c r="B389" s="4">
        <v>46103</v>
      </c>
      <c r="C389" t="s">
        <v>47</v>
      </c>
      <c r="D389" t="s">
        <v>37</v>
      </c>
      <c r="E389">
        <v>1.7</v>
      </c>
      <c r="F389">
        <v>8527.7999999999993</v>
      </c>
      <c r="G389">
        <v>179.8</v>
      </c>
      <c r="H389">
        <v>8348</v>
      </c>
      <c r="I389" t="s">
        <v>142</v>
      </c>
      <c r="J389">
        <v>9.31</v>
      </c>
      <c r="K389">
        <v>2684.47</v>
      </c>
    </row>
    <row r="390" spans="1:11">
      <c r="A390" t="s">
        <v>170</v>
      </c>
      <c r="B390" s="4">
        <v>45946</v>
      </c>
      <c r="C390" t="s">
        <v>45</v>
      </c>
      <c r="D390" t="s">
        <v>39</v>
      </c>
      <c r="E390">
        <v>3.1</v>
      </c>
      <c r="F390">
        <v>4736.2</v>
      </c>
      <c r="G390">
        <v>342.1</v>
      </c>
      <c r="H390">
        <v>4394.1000000000004</v>
      </c>
      <c r="I390" t="s">
        <v>65</v>
      </c>
      <c r="J390">
        <v>3.95</v>
      </c>
      <c r="K390">
        <v>5326.2</v>
      </c>
    </row>
    <row r="391" spans="1:11">
      <c r="A391" t="s">
        <v>170</v>
      </c>
      <c r="B391" s="4">
        <v>45982</v>
      </c>
      <c r="C391" t="s">
        <v>49</v>
      </c>
      <c r="D391" t="s">
        <v>41</v>
      </c>
      <c r="E391">
        <v>2.9</v>
      </c>
      <c r="F391">
        <v>21033.599999999999</v>
      </c>
      <c r="G391">
        <v>2745.1</v>
      </c>
      <c r="H391">
        <v>18288.5</v>
      </c>
      <c r="I391" t="s">
        <v>77</v>
      </c>
      <c r="J391">
        <v>2.13</v>
      </c>
      <c r="K391">
        <v>2265.12</v>
      </c>
    </row>
    <row r="392" spans="1:11">
      <c r="A392" t="s">
        <v>214</v>
      </c>
      <c r="B392" s="4">
        <v>46092</v>
      </c>
      <c r="C392" t="s">
        <v>47</v>
      </c>
      <c r="D392" t="s">
        <v>35</v>
      </c>
      <c r="E392">
        <v>8.6</v>
      </c>
      <c r="F392">
        <v>69963.7</v>
      </c>
      <c r="G392">
        <v>7839.1</v>
      </c>
      <c r="H392">
        <v>62124.6</v>
      </c>
      <c r="I392" t="s">
        <v>65</v>
      </c>
      <c r="J392">
        <v>7.19</v>
      </c>
      <c r="K392">
        <v>7446.51</v>
      </c>
    </row>
    <row r="393" spans="1:11">
      <c r="A393" t="s">
        <v>73</v>
      </c>
      <c r="B393" s="4">
        <v>46157</v>
      </c>
      <c r="C393" t="s">
        <v>47</v>
      </c>
      <c r="D393" t="s">
        <v>39</v>
      </c>
      <c r="E393">
        <v>5.7</v>
      </c>
      <c r="F393">
        <v>7673.8</v>
      </c>
      <c r="G393">
        <v>975.6</v>
      </c>
      <c r="H393">
        <v>6698.2</v>
      </c>
      <c r="I393" t="s">
        <v>77</v>
      </c>
      <c r="J393">
        <v>5.35</v>
      </c>
      <c r="K393">
        <v>9662.99</v>
      </c>
    </row>
    <row r="394" spans="1:11">
      <c r="A394" t="s">
        <v>216</v>
      </c>
      <c r="B394" s="4">
        <v>45963</v>
      </c>
      <c r="C394" t="s">
        <v>47</v>
      </c>
      <c r="D394" t="s">
        <v>39</v>
      </c>
      <c r="E394">
        <v>2.9</v>
      </c>
      <c r="F394">
        <v>3268.7</v>
      </c>
      <c r="G394">
        <v>228</v>
      </c>
      <c r="H394">
        <v>3040.7</v>
      </c>
      <c r="I394" t="s">
        <v>70</v>
      </c>
      <c r="J394">
        <v>5.08</v>
      </c>
      <c r="K394">
        <v>2809.01</v>
      </c>
    </row>
    <row r="395" spans="1:11">
      <c r="A395" t="s">
        <v>144</v>
      </c>
      <c r="B395" s="4">
        <v>45848</v>
      </c>
      <c r="C395" t="s">
        <v>47</v>
      </c>
      <c r="D395" t="s">
        <v>31</v>
      </c>
      <c r="E395">
        <v>3.4</v>
      </c>
      <c r="F395">
        <v>7143.5</v>
      </c>
      <c r="G395">
        <v>573.6</v>
      </c>
      <c r="H395">
        <v>6569.9</v>
      </c>
      <c r="I395" t="s">
        <v>70</v>
      </c>
      <c r="J395">
        <v>2.88</v>
      </c>
      <c r="K395">
        <v>3118.84</v>
      </c>
    </row>
    <row r="396" spans="1:11">
      <c r="A396" t="s">
        <v>242</v>
      </c>
      <c r="B396" s="4">
        <v>46011</v>
      </c>
      <c r="C396" t="s">
        <v>53</v>
      </c>
      <c r="D396" t="s">
        <v>41</v>
      </c>
      <c r="E396">
        <v>5</v>
      </c>
      <c r="F396">
        <v>31703</v>
      </c>
      <c r="G396">
        <v>2736</v>
      </c>
      <c r="H396">
        <v>28967</v>
      </c>
      <c r="I396" t="s">
        <v>77</v>
      </c>
      <c r="J396">
        <v>2.1</v>
      </c>
      <c r="K396">
        <v>5359.51</v>
      </c>
    </row>
    <row r="397" spans="1:11">
      <c r="A397" t="s">
        <v>99</v>
      </c>
      <c r="B397" s="4">
        <v>46082</v>
      </c>
      <c r="C397" t="s">
        <v>53</v>
      </c>
      <c r="D397" t="s">
        <v>41</v>
      </c>
      <c r="E397">
        <v>11.1</v>
      </c>
      <c r="F397">
        <v>84016</v>
      </c>
      <c r="G397">
        <v>2747.9</v>
      </c>
      <c r="H397">
        <v>81268.100000000006</v>
      </c>
      <c r="I397" t="s">
        <v>70</v>
      </c>
      <c r="J397">
        <v>2.2599999999999998</v>
      </c>
      <c r="K397">
        <v>10600.16</v>
      </c>
    </row>
    <row r="398" spans="1:11">
      <c r="A398" t="s">
        <v>163</v>
      </c>
      <c r="B398" s="4">
        <v>45939</v>
      </c>
      <c r="C398" t="s">
        <v>49</v>
      </c>
      <c r="D398" t="s">
        <v>37</v>
      </c>
      <c r="E398">
        <v>11.6</v>
      </c>
      <c r="F398">
        <v>53243.7</v>
      </c>
      <c r="G398">
        <v>4997.2</v>
      </c>
      <c r="H398">
        <v>48246.5</v>
      </c>
      <c r="I398" t="s">
        <v>70</v>
      </c>
      <c r="J398">
        <v>9.01</v>
      </c>
      <c r="K398">
        <v>14410.08</v>
      </c>
    </row>
    <row r="399" spans="1:11">
      <c r="A399" t="s">
        <v>143</v>
      </c>
      <c r="B399" s="4">
        <v>45841</v>
      </c>
      <c r="C399" t="s">
        <v>49</v>
      </c>
      <c r="D399" t="s">
        <v>35</v>
      </c>
      <c r="E399">
        <v>14.4</v>
      </c>
      <c r="F399">
        <v>141664.70000000001</v>
      </c>
      <c r="G399">
        <v>4297.8999999999996</v>
      </c>
      <c r="H399">
        <v>137366.79999999999</v>
      </c>
      <c r="I399" t="s">
        <v>77</v>
      </c>
      <c r="J399">
        <v>7.5</v>
      </c>
      <c r="K399">
        <v>20636.509999999998</v>
      </c>
    </row>
    <row r="400" spans="1:11">
      <c r="A400" t="s">
        <v>173</v>
      </c>
      <c r="B400" s="4">
        <v>46130</v>
      </c>
      <c r="C400" t="s">
        <v>49</v>
      </c>
      <c r="D400" t="s">
        <v>39</v>
      </c>
      <c r="E400">
        <v>12.5</v>
      </c>
      <c r="F400">
        <v>19498.099999999999</v>
      </c>
      <c r="G400">
        <v>2533.3000000000002</v>
      </c>
      <c r="H400">
        <v>16964.8</v>
      </c>
      <c r="I400" t="s">
        <v>65</v>
      </c>
      <c r="J400">
        <v>4.9800000000000004</v>
      </c>
      <c r="K400">
        <v>20278.990000000002</v>
      </c>
    </row>
    <row r="401" spans="1:11">
      <c r="A401" t="s">
        <v>243</v>
      </c>
      <c r="B401" s="4">
        <v>46151</v>
      </c>
      <c r="C401" t="s">
        <v>51</v>
      </c>
      <c r="D401" t="s">
        <v>33</v>
      </c>
      <c r="E401">
        <v>13.1</v>
      </c>
      <c r="F401">
        <v>27137.9</v>
      </c>
      <c r="G401">
        <v>1949.7</v>
      </c>
      <c r="H401">
        <v>25188.2</v>
      </c>
      <c r="I401" t="s">
        <v>77</v>
      </c>
      <c r="J401">
        <v>6.86</v>
      </c>
      <c r="K401">
        <v>16478.04</v>
      </c>
    </row>
    <row r="402" spans="1:11">
      <c r="A402" t="s">
        <v>206</v>
      </c>
      <c r="B402" s="4">
        <v>45985</v>
      </c>
      <c r="C402" t="s">
        <v>51</v>
      </c>
      <c r="D402" t="s">
        <v>31</v>
      </c>
      <c r="E402">
        <v>11.3</v>
      </c>
      <c r="F402">
        <v>14597</v>
      </c>
      <c r="G402">
        <v>1553.1</v>
      </c>
      <c r="H402">
        <v>13043.9</v>
      </c>
      <c r="I402" t="s">
        <v>67</v>
      </c>
      <c r="J402">
        <v>3.77</v>
      </c>
      <c r="K402">
        <v>10638.08</v>
      </c>
    </row>
    <row r="403" spans="1:11">
      <c r="A403" t="s">
        <v>175</v>
      </c>
      <c r="B403" s="4">
        <v>45892</v>
      </c>
      <c r="C403" t="s">
        <v>49</v>
      </c>
      <c r="D403" t="s">
        <v>41</v>
      </c>
      <c r="E403">
        <v>3.3</v>
      </c>
      <c r="F403">
        <v>24843.1</v>
      </c>
      <c r="G403">
        <v>2814.1</v>
      </c>
      <c r="H403">
        <v>22029</v>
      </c>
      <c r="I403" t="s">
        <v>67</v>
      </c>
      <c r="J403">
        <v>2.63</v>
      </c>
      <c r="K403">
        <v>2677.4</v>
      </c>
    </row>
    <row r="404" spans="1:11">
      <c r="A404" t="s">
        <v>107</v>
      </c>
      <c r="B404" s="4">
        <v>45883</v>
      </c>
      <c r="C404" t="s">
        <v>51</v>
      </c>
      <c r="D404" t="s">
        <v>31</v>
      </c>
      <c r="E404">
        <v>3</v>
      </c>
      <c r="F404">
        <v>3766.1</v>
      </c>
      <c r="G404">
        <v>501.8</v>
      </c>
      <c r="H404">
        <v>3264.3</v>
      </c>
      <c r="I404" t="s">
        <v>65</v>
      </c>
      <c r="J404">
        <v>3.02</v>
      </c>
      <c r="K404">
        <v>4443.17</v>
      </c>
    </row>
    <row r="405" spans="1:11">
      <c r="A405" t="s">
        <v>138</v>
      </c>
      <c r="B405" s="4">
        <v>45999</v>
      </c>
      <c r="C405" t="s">
        <v>53</v>
      </c>
      <c r="D405" t="s">
        <v>31</v>
      </c>
      <c r="E405">
        <v>5.9</v>
      </c>
      <c r="F405">
        <v>8602.5</v>
      </c>
      <c r="G405">
        <v>1149.7</v>
      </c>
      <c r="H405">
        <v>7452.8</v>
      </c>
      <c r="I405" t="s">
        <v>65</v>
      </c>
      <c r="J405">
        <v>2.94</v>
      </c>
      <c r="K405">
        <v>3856.24</v>
      </c>
    </row>
    <row r="406" spans="1:11">
      <c r="A406" t="s">
        <v>171</v>
      </c>
      <c r="B406" s="4">
        <v>46204</v>
      </c>
      <c r="C406" t="s">
        <v>45</v>
      </c>
      <c r="D406" t="s">
        <v>31</v>
      </c>
      <c r="E406">
        <v>11.7</v>
      </c>
      <c r="F406">
        <v>28264.7</v>
      </c>
      <c r="G406">
        <v>4129.8999999999996</v>
      </c>
      <c r="H406">
        <v>24134.799999999999</v>
      </c>
      <c r="I406" t="s">
        <v>70</v>
      </c>
      <c r="J406">
        <v>3.11</v>
      </c>
      <c r="K406">
        <v>17623.099999999999</v>
      </c>
    </row>
    <row r="407" spans="1:11">
      <c r="A407" t="s">
        <v>244</v>
      </c>
      <c r="B407" s="4">
        <v>45875</v>
      </c>
      <c r="C407" t="s">
        <v>51</v>
      </c>
      <c r="D407" t="s">
        <v>41</v>
      </c>
      <c r="E407">
        <v>9.1999999999999993</v>
      </c>
      <c r="F407">
        <v>57925.7</v>
      </c>
      <c r="G407">
        <v>6019.4</v>
      </c>
      <c r="H407">
        <v>51906.3</v>
      </c>
      <c r="I407" t="s">
        <v>67</v>
      </c>
      <c r="J407">
        <v>2.4</v>
      </c>
      <c r="K407">
        <v>15429.71</v>
      </c>
    </row>
    <row r="408" spans="1:11">
      <c r="A408" t="s">
        <v>227</v>
      </c>
      <c r="B408" s="4">
        <v>46167</v>
      </c>
      <c r="C408" t="s">
        <v>45</v>
      </c>
      <c r="D408" t="s">
        <v>35</v>
      </c>
      <c r="E408">
        <v>6.8</v>
      </c>
      <c r="F408">
        <v>49604</v>
      </c>
      <c r="G408">
        <v>2007</v>
      </c>
      <c r="H408">
        <v>47597</v>
      </c>
      <c r="I408" t="s">
        <v>67</v>
      </c>
      <c r="J408">
        <v>5.91</v>
      </c>
      <c r="K408">
        <v>10251</v>
      </c>
    </row>
    <row r="409" spans="1:11">
      <c r="A409" t="s">
        <v>85</v>
      </c>
      <c r="B409" s="4">
        <v>46058</v>
      </c>
      <c r="C409" t="s">
        <v>49</v>
      </c>
      <c r="D409" t="s">
        <v>33</v>
      </c>
      <c r="E409">
        <v>5.0999999999999996</v>
      </c>
      <c r="F409">
        <v>10377.799999999999</v>
      </c>
      <c r="G409">
        <v>1202</v>
      </c>
      <c r="H409">
        <v>9175.7999999999993</v>
      </c>
      <c r="I409" t="s">
        <v>67</v>
      </c>
      <c r="J409">
        <v>5.84</v>
      </c>
      <c r="K409">
        <v>8872.64</v>
      </c>
    </row>
    <row r="410" spans="1:11">
      <c r="A410" t="s">
        <v>245</v>
      </c>
      <c r="B410" s="4">
        <v>45929</v>
      </c>
      <c r="C410" t="s">
        <v>47</v>
      </c>
      <c r="D410" t="s">
        <v>33</v>
      </c>
      <c r="E410">
        <v>3.8</v>
      </c>
      <c r="F410">
        <v>7654.6</v>
      </c>
      <c r="G410">
        <v>424.3</v>
      </c>
      <c r="H410">
        <v>7230.3</v>
      </c>
      <c r="I410" t="s">
        <v>77</v>
      </c>
      <c r="J410">
        <v>5.56</v>
      </c>
      <c r="K410">
        <v>3627.66</v>
      </c>
    </row>
    <row r="411" spans="1:11">
      <c r="A411" t="s">
        <v>194</v>
      </c>
      <c r="B411" s="4">
        <v>45960</v>
      </c>
      <c r="C411" t="s">
        <v>49</v>
      </c>
      <c r="D411" t="s">
        <v>39</v>
      </c>
      <c r="E411">
        <v>14.1</v>
      </c>
      <c r="F411">
        <v>14444</v>
      </c>
      <c r="G411">
        <v>1982.1</v>
      </c>
      <c r="H411">
        <v>12461.9</v>
      </c>
      <c r="I411" t="s">
        <v>65</v>
      </c>
      <c r="J411">
        <v>4.55</v>
      </c>
      <c r="K411">
        <v>21000.14</v>
      </c>
    </row>
    <row r="412" spans="1:11">
      <c r="A412" t="s">
        <v>201</v>
      </c>
      <c r="B412" s="4">
        <v>46053</v>
      </c>
      <c r="C412" t="s">
        <v>47</v>
      </c>
      <c r="D412" t="s">
        <v>39</v>
      </c>
      <c r="E412">
        <v>9.3000000000000007</v>
      </c>
      <c r="F412">
        <v>13290.7</v>
      </c>
      <c r="G412">
        <v>283.60000000000002</v>
      </c>
      <c r="H412">
        <v>13007.1</v>
      </c>
      <c r="I412" t="s">
        <v>65</v>
      </c>
      <c r="J412">
        <v>4.7699999999999996</v>
      </c>
      <c r="K412">
        <v>12425.81</v>
      </c>
    </row>
    <row r="413" spans="1:11">
      <c r="A413" t="s">
        <v>103</v>
      </c>
      <c r="B413" s="4">
        <v>46119</v>
      </c>
      <c r="C413" t="s">
        <v>53</v>
      </c>
      <c r="D413" t="s">
        <v>35</v>
      </c>
      <c r="E413">
        <v>12.5</v>
      </c>
      <c r="F413">
        <v>114594.1</v>
      </c>
      <c r="G413">
        <v>6416.7</v>
      </c>
      <c r="H413">
        <v>108177.4</v>
      </c>
      <c r="I413" t="s">
        <v>77</v>
      </c>
      <c r="J413">
        <v>7.71</v>
      </c>
      <c r="K413">
        <v>14445.52</v>
      </c>
    </row>
    <row r="414" spans="1:11">
      <c r="A414" t="s">
        <v>235</v>
      </c>
      <c r="B414" s="4">
        <v>45917</v>
      </c>
      <c r="C414" t="s">
        <v>51</v>
      </c>
      <c r="D414" t="s">
        <v>33</v>
      </c>
      <c r="E414">
        <v>3</v>
      </c>
      <c r="F414">
        <v>6948.1</v>
      </c>
      <c r="G414">
        <v>676.8</v>
      </c>
      <c r="H414">
        <v>6271.3</v>
      </c>
      <c r="I414" t="s">
        <v>70</v>
      </c>
      <c r="J414">
        <v>6.4</v>
      </c>
      <c r="K414">
        <v>5128.32</v>
      </c>
    </row>
    <row r="415" spans="1:11">
      <c r="A415" t="s">
        <v>82</v>
      </c>
      <c r="B415" s="4">
        <v>46033</v>
      </c>
      <c r="C415" t="s">
        <v>53</v>
      </c>
      <c r="D415" t="s">
        <v>31</v>
      </c>
      <c r="E415">
        <v>5</v>
      </c>
      <c r="F415">
        <v>6698.6</v>
      </c>
      <c r="G415">
        <v>767.3</v>
      </c>
      <c r="H415">
        <v>5931.3</v>
      </c>
      <c r="I415" t="s">
        <v>67</v>
      </c>
      <c r="J415">
        <v>2.87</v>
      </c>
      <c r="K415">
        <v>3513.07</v>
      </c>
    </row>
    <row r="416" spans="1:11">
      <c r="A416" t="s">
        <v>236</v>
      </c>
      <c r="B416" s="4">
        <v>46202</v>
      </c>
      <c r="C416" t="s">
        <v>47</v>
      </c>
      <c r="D416" t="s">
        <v>41</v>
      </c>
      <c r="E416">
        <v>14.5</v>
      </c>
      <c r="F416">
        <v>117206.7</v>
      </c>
      <c r="G416">
        <v>2823.2</v>
      </c>
      <c r="H416">
        <v>114383.5</v>
      </c>
      <c r="I416" t="s">
        <v>67</v>
      </c>
      <c r="J416">
        <v>2.66</v>
      </c>
      <c r="K416">
        <v>20163.32</v>
      </c>
    </row>
    <row r="417" spans="1:11">
      <c r="A417" t="s">
        <v>244</v>
      </c>
      <c r="B417" s="4">
        <v>46193</v>
      </c>
      <c r="C417" t="s">
        <v>51</v>
      </c>
      <c r="D417" t="s">
        <v>37</v>
      </c>
      <c r="E417">
        <v>13.2</v>
      </c>
      <c r="F417">
        <v>74738.899999999994</v>
      </c>
      <c r="G417">
        <v>4793.3</v>
      </c>
      <c r="H417">
        <v>69945.600000000006</v>
      </c>
      <c r="I417" t="s">
        <v>77</v>
      </c>
      <c r="J417">
        <v>9.1300000000000008</v>
      </c>
      <c r="K417">
        <v>22487.21</v>
      </c>
    </row>
    <row r="418" spans="1:11">
      <c r="A418" t="s">
        <v>246</v>
      </c>
      <c r="B418" s="4">
        <v>45856</v>
      </c>
      <c r="C418" t="s">
        <v>53</v>
      </c>
      <c r="D418" t="s">
        <v>31</v>
      </c>
      <c r="E418">
        <v>4.3</v>
      </c>
      <c r="F418">
        <v>8898.7999999999993</v>
      </c>
      <c r="G418">
        <v>912.2</v>
      </c>
      <c r="H418">
        <v>7986.6</v>
      </c>
      <c r="I418" t="s">
        <v>65</v>
      </c>
      <c r="J418">
        <v>3.23</v>
      </c>
      <c r="K418">
        <v>4226.59</v>
      </c>
    </row>
    <row r="419" spans="1:11">
      <c r="A419" t="s">
        <v>94</v>
      </c>
      <c r="B419" s="4">
        <v>46060</v>
      </c>
      <c r="C419" t="s">
        <v>49</v>
      </c>
      <c r="D419" t="s">
        <v>37</v>
      </c>
      <c r="E419">
        <v>12.5</v>
      </c>
      <c r="F419">
        <v>64237.7</v>
      </c>
      <c r="G419">
        <v>9842.4</v>
      </c>
      <c r="H419">
        <v>54395.3</v>
      </c>
      <c r="I419" t="s">
        <v>67</v>
      </c>
      <c r="J419">
        <v>10.39</v>
      </c>
      <c r="K419">
        <v>18657.919999999998</v>
      </c>
    </row>
    <row r="420" spans="1:11">
      <c r="A420" t="s">
        <v>180</v>
      </c>
      <c r="B420" s="4">
        <v>46026</v>
      </c>
      <c r="C420" t="s">
        <v>47</v>
      </c>
      <c r="D420" t="s">
        <v>41</v>
      </c>
      <c r="E420">
        <v>6.5</v>
      </c>
      <c r="F420">
        <v>52256.1</v>
      </c>
      <c r="G420">
        <v>6554.9</v>
      </c>
      <c r="H420">
        <v>45701.2</v>
      </c>
      <c r="I420" t="s">
        <v>67</v>
      </c>
      <c r="J420">
        <v>2.0699999999999998</v>
      </c>
      <c r="K420">
        <v>8923.6</v>
      </c>
    </row>
    <row r="421" spans="1:11">
      <c r="A421" t="s">
        <v>171</v>
      </c>
      <c r="B421" s="4">
        <v>46194</v>
      </c>
      <c r="C421" t="s">
        <v>47</v>
      </c>
      <c r="D421" t="s">
        <v>35</v>
      </c>
      <c r="E421">
        <v>6.1</v>
      </c>
      <c r="F421">
        <v>41076.199999999997</v>
      </c>
      <c r="G421">
        <v>3393.6</v>
      </c>
      <c r="H421">
        <v>37682.6</v>
      </c>
      <c r="I421" t="s">
        <v>70</v>
      </c>
      <c r="J421">
        <v>6.58</v>
      </c>
      <c r="K421">
        <v>7538.2</v>
      </c>
    </row>
    <row r="422" spans="1:11">
      <c r="A422" t="s">
        <v>146</v>
      </c>
      <c r="B422" s="4">
        <v>45867</v>
      </c>
      <c r="C422" t="s">
        <v>49</v>
      </c>
      <c r="D422" t="s">
        <v>31</v>
      </c>
      <c r="E422">
        <v>5.7</v>
      </c>
      <c r="F422">
        <v>7079.7</v>
      </c>
      <c r="G422">
        <v>967.4</v>
      </c>
      <c r="H422">
        <v>6112.3</v>
      </c>
      <c r="I422" t="s">
        <v>65</v>
      </c>
      <c r="J422">
        <v>3.77</v>
      </c>
      <c r="K422">
        <v>9096.2099999999991</v>
      </c>
    </row>
    <row r="423" spans="1:11">
      <c r="A423" t="s">
        <v>75</v>
      </c>
      <c r="B423" s="4">
        <v>45881</v>
      </c>
      <c r="C423" t="s">
        <v>45</v>
      </c>
      <c r="D423" t="s">
        <v>39</v>
      </c>
      <c r="E423">
        <v>12.7</v>
      </c>
      <c r="F423">
        <v>16565.3</v>
      </c>
      <c r="G423">
        <v>712.6</v>
      </c>
      <c r="H423">
        <v>15852.7</v>
      </c>
      <c r="I423" t="s">
        <v>70</v>
      </c>
      <c r="J423">
        <v>5.01</v>
      </c>
      <c r="K423">
        <v>8571.9500000000007</v>
      </c>
    </row>
    <row r="424" spans="1:11">
      <c r="A424" t="s">
        <v>166</v>
      </c>
      <c r="B424" s="4">
        <v>45937</v>
      </c>
      <c r="C424" t="s">
        <v>51</v>
      </c>
      <c r="D424" t="s">
        <v>31</v>
      </c>
      <c r="E424">
        <v>9.5</v>
      </c>
      <c r="F424">
        <v>22092.400000000001</v>
      </c>
      <c r="G424">
        <v>1998.5</v>
      </c>
      <c r="H424">
        <v>20093.900000000001</v>
      </c>
      <c r="I424" t="s">
        <v>65</v>
      </c>
      <c r="J424">
        <v>3.11</v>
      </c>
      <c r="K424">
        <v>11335.89</v>
      </c>
    </row>
    <row r="425" spans="1:11">
      <c r="A425" t="s">
        <v>212</v>
      </c>
      <c r="B425" s="4">
        <v>45911</v>
      </c>
      <c r="C425" t="s">
        <v>49</v>
      </c>
      <c r="D425" t="s">
        <v>39</v>
      </c>
      <c r="E425">
        <v>3.2</v>
      </c>
      <c r="F425">
        <v>4931.3</v>
      </c>
      <c r="G425">
        <v>243.6</v>
      </c>
      <c r="H425">
        <v>4687.7</v>
      </c>
      <c r="I425" t="s">
        <v>70</v>
      </c>
      <c r="J425">
        <v>4.18</v>
      </c>
      <c r="K425">
        <v>5548.13</v>
      </c>
    </row>
    <row r="426" spans="1:11">
      <c r="A426" t="s">
        <v>247</v>
      </c>
      <c r="B426" s="4">
        <v>46059</v>
      </c>
      <c r="C426" t="s">
        <v>53</v>
      </c>
      <c r="D426" t="s">
        <v>35</v>
      </c>
      <c r="E426">
        <v>11.4</v>
      </c>
      <c r="F426">
        <v>91039.1</v>
      </c>
      <c r="G426">
        <v>13555.7</v>
      </c>
      <c r="H426">
        <v>77483.399999999994</v>
      </c>
      <c r="I426" t="s">
        <v>70</v>
      </c>
      <c r="J426">
        <v>7.61</v>
      </c>
      <c r="K426">
        <v>19819.150000000001</v>
      </c>
    </row>
    <row r="427" spans="1:11">
      <c r="A427" t="s">
        <v>212</v>
      </c>
      <c r="B427" s="4">
        <v>46125</v>
      </c>
      <c r="C427" t="s">
        <v>51</v>
      </c>
      <c r="D427" t="s">
        <v>33</v>
      </c>
      <c r="E427">
        <v>5.3</v>
      </c>
      <c r="F427">
        <v>12303.9</v>
      </c>
      <c r="G427">
        <v>1147</v>
      </c>
      <c r="H427">
        <v>11156.9</v>
      </c>
      <c r="I427" t="s">
        <v>67</v>
      </c>
      <c r="J427">
        <v>6.66</v>
      </c>
      <c r="K427">
        <v>6788.8</v>
      </c>
    </row>
    <row r="428" spans="1:11">
      <c r="A428" t="s">
        <v>120</v>
      </c>
      <c r="B428" s="4">
        <v>45971</v>
      </c>
      <c r="C428" t="s">
        <v>51</v>
      </c>
      <c r="D428" t="s">
        <v>35</v>
      </c>
      <c r="E428">
        <v>2.5</v>
      </c>
      <c r="F428">
        <v>15544.5</v>
      </c>
      <c r="G428">
        <v>1826.5</v>
      </c>
      <c r="H428">
        <v>13718</v>
      </c>
      <c r="I428" t="s">
        <v>70</v>
      </c>
      <c r="J428">
        <v>5.77</v>
      </c>
      <c r="K428">
        <v>3872.74</v>
      </c>
    </row>
    <row r="429" spans="1:11">
      <c r="A429" t="s">
        <v>151</v>
      </c>
      <c r="B429" s="4">
        <v>45886</v>
      </c>
      <c r="C429" t="s">
        <v>45</v>
      </c>
      <c r="D429" t="s">
        <v>33</v>
      </c>
      <c r="E429">
        <v>10.199999999999999</v>
      </c>
      <c r="F429">
        <v>23011.3</v>
      </c>
      <c r="G429">
        <v>831.5</v>
      </c>
      <c r="H429">
        <v>22179.8</v>
      </c>
      <c r="I429" t="s">
        <v>77</v>
      </c>
      <c r="J429">
        <v>5.71</v>
      </c>
      <c r="K429">
        <v>10029.36</v>
      </c>
    </row>
    <row r="430" spans="1:11">
      <c r="A430" t="s">
        <v>98</v>
      </c>
      <c r="B430" s="4">
        <v>46076</v>
      </c>
      <c r="C430" t="s">
        <v>45</v>
      </c>
      <c r="D430" t="s">
        <v>33</v>
      </c>
      <c r="E430">
        <v>4.9000000000000004</v>
      </c>
      <c r="F430">
        <v>14012.8</v>
      </c>
      <c r="G430">
        <v>1421.6</v>
      </c>
      <c r="H430">
        <v>12591.2</v>
      </c>
      <c r="I430" t="s">
        <v>65</v>
      </c>
      <c r="J430">
        <v>6.7</v>
      </c>
      <c r="K430">
        <v>4047.1</v>
      </c>
    </row>
    <row r="431" spans="1:11">
      <c r="A431" t="s">
        <v>248</v>
      </c>
      <c r="B431" s="4">
        <v>46068</v>
      </c>
      <c r="C431" t="s">
        <v>51</v>
      </c>
      <c r="D431" t="s">
        <v>39</v>
      </c>
      <c r="E431">
        <v>1.6</v>
      </c>
      <c r="F431">
        <v>2937.7</v>
      </c>
      <c r="G431">
        <v>422.7</v>
      </c>
      <c r="H431">
        <v>2515</v>
      </c>
      <c r="I431" t="s">
        <v>65</v>
      </c>
      <c r="J431">
        <v>4.16</v>
      </c>
      <c r="K431">
        <v>2269.64</v>
      </c>
    </row>
    <row r="432" spans="1:11">
      <c r="A432" t="s">
        <v>138</v>
      </c>
      <c r="B432" s="4">
        <v>45971</v>
      </c>
      <c r="C432" t="s">
        <v>49</v>
      </c>
      <c r="D432" t="s">
        <v>31</v>
      </c>
      <c r="E432">
        <v>2.5</v>
      </c>
      <c r="F432">
        <v>5979.9</v>
      </c>
      <c r="G432">
        <v>397.4</v>
      </c>
      <c r="H432">
        <v>5582.5</v>
      </c>
      <c r="I432" t="s">
        <v>65</v>
      </c>
      <c r="J432">
        <v>3.57</v>
      </c>
      <c r="K432">
        <v>2080.33</v>
      </c>
    </row>
    <row r="433" spans="1:11">
      <c r="A433" t="s">
        <v>149</v>
      </c>
      <c r="B433" s="4">
        <v>45852</v>
      </c>
      <c r="C433" t="s">
        <v>45</v>
      </c>
      <c r="D433" t="s">
        <v>39</v>
      </c>
      <c r="E433">
        <v>11.8</v>
      </c>
      <c r="F433">
        <v>17994.900000000001</v>
      </c>
      <c r="G433">
        <v>377.4</v>
      </c>
      <c r="H433">
        <v>17617.5</v>
      </c>
      <c r="I433" t="s">
        <v>77</v>
      </c>
      <c r="J433">
        <v>3.99</v>
      </c>
      <c r="K433">
        <v>11316.81</v>
      </c>
    </row>
    <row r="434" spans="1:11">
      <c r="A434" t="s">
        <v>208</v>
      </c>
      <c r="B434" s="4">
        <v>45980</v>
      </c>
      <c r="C434" t="s">
        <v>53</v>
      </c>
      <c r="D434" t="s">
        <v>39</v>
      </c>
      <c r="E434">
        <v>10.1</v>
      </c>
      <c r="F434">
        <v>16908.3</v>
      </c>
      <c r="G434">
        <v>1456.6</v>
      </c>
      <c r="H434">
        <v>15451.7</v>
      </c>
      <c r="I434" t="s">
        <v>70</v>
      </c>
      <c r="J434">
        <v>3.97</v>
      </c>
      <c r="K434">
        <v>17792.97</v>
      </c>
    </row>
    <row r="435" spans="1:11">
      <c r="A435" t="s">
        <v>249</v>
      </c>
      <c r="B435" s="4">
        <v>45932</v>
      </c>
      <c r="C435" t="s">
        <v>49</v>
      </c>
      <c r="D435" t="s">
        <v>33</v>
      </c>
      <c r="E435">
        <v>7</v>
      </c>
      <c r="F435">
        <v>16115.5</v>
      </c>
      <c r="G435">
        <v>2173</v>
      </c>
      <c r="H435">
        <v>13942.5</v>
      </c>
      <c r="I435" t="s">
        <v>77</v>
      </c>
      <c r="J435">
        <v>5.27</v>
      </c>
      <c r="K435">
        <v>8933.73</v>
      </c>
    </row>
    <row r="436" spans="1:11">
      <c r="A436" t="s">
        <v>170</v>
      </c>
      <c r="B436" s="4">
        <v>46170</v>
      </c>
      <c r="C436" t="s">
        <v>53</v>
      </c>
      <c r="D436" t="s">
        <v>41</v>
      </c>
      <c r="E436">
        <v>9.5</v>
      </c>
      <c r="F436">
        <v>75019.600000000006</v>
      </c>
      <c r="G436">
        <v>8742.2000000000007</v>
      </c>
      <c r="H436">
        <v>66277.399999999994</v>
      </c>
      <c r="I436" t="s">
        <v>65</v>
      </c>
      <c r="J436">
        <v>2.48</v>
      </c>
      <c r="K436">
        <v>12791.86</v>
      </c>
    </row>
    <row r="437" spans="1:11">
      <c r="A437" t="s">
        <v>114</v>
      </c>
      <c r="B437" s="4">
        <v>46161</v>
      </c>
      <c r="C437" t="s">
        <v>51</v>
      </c>
      <c r="D437" t="s">
        <v>37</v>
      </c>
      <c r="E437">
        <v>4.0999999999999996</v>
      </c>
      <c r="F437">
        <v>14512.5</v>
      </c>
      <c r="G437">
        <v>1150.4000000000001</v>
      </c>
      <c r="H437">
        <v>13362.1</v>
      </c>
      <c r="I437" t="s">
        <v>70</v>
      </c>
      <c r="J437">
        <v>8.74</v>
      </c>
      <c r="K437">
        <v>5964.55</v>
      </c>
    </row>
    <row r="438" spans="1:11">
      <c r="A438" t="s">
        <v>91</v>
      </c>
      <c r="B438" s="4">
        <v>45911</v>
      </c>
      <c r="C438" t="s">
        <v>51</v>
      </c>
      <c r="D438" t="s">
        <v>37</v>
      </c>
      <c r="E438">
        <v>4.0999999999999996</v>
      </c>
      <c r="F438">
        <v>22678.9</v>
      </c>
      <c r="G438">
        <v>2855.1</v>
      </c>
      <c r="H438">
        <v>19823.8</v>
      </c>
      <c r="I438" t="s">
        <v>65</v>
      </c>
      <c r="J438">
        <v>9.7100000000000009</v>
      </c>
      <c r="K438">
        <v>5721.01</v>
      </c>
    </row>
    <row r="439" spans="1:11">
      <c r="A439" t="s">
        <v>160</v>
      </c>
      <c r="B439" s="4">
        <v>46013</v>
      </c>
      <c r="C439" t="s">
        <v>51</v>
      </c>
      <c r="D439" t="s">
        <v>41</v>
      </c>
      <c r="E439">
        <v>12.8</v>
      </c>
      <c r="F439">
        <v>84508.5</v>
      </c>
      <c r="G439">
        <v>4699.3999999999996</v>
      </c>
      <c r="H439">
        <v>79809.100000000006</v>
      </c>
      <c r="I439" t="s">
        <v>77</v>
      </c>
      <c r="J439">
        <v>2.76</v>
      </c>
      <c r="K439">
        <v>10892.41</v>
      </c>
    </row>
    <row r="440" spans="1:11">
      <c r="A440" t="s">
        <v>192</v>
      </c>
      <c r="B440" s="4">
        <v>46163</v>
      </c>
      <c r="C440" t="s">
        <v>53</v>
      </c>
      <c r="D440" t="s">
        <v>31</v>
      </c>
      <c r="E440">
        <v>7.8</v>
      </c>
      <c r="F440">
        <v>16260.1</v>
      </c>
      <c r="G440">
        <v>551.79999999999995</v>
      </c>
      <c r="H440">
        <v>15708.3</v>
      </c>
      <c r="I440" t="s">
        <v>67</v>
      </c>
      <c r="J440">
        <v>3.36</v>
      </c>
      <c r="K440">
        <v>7964.03</v>
      </c>
    </row>
    <row r="441" spans="1:11">
      <c r="A441" t="s">
        <v>99</v>
      </c>
      <c r="B441" s="4">
        <v>45878</v>
      </c>
      <c r="C441" t="s">
        <v>51</v>
      </c>
      <c r="D441" t="s">
        <v>33</v>
      </c>
      <c r="E441">
        <v>9.6999999999999993</v>
      </c>
      <c r="F441">
        <v>21005.9</v>
      </c>
      <c r="G441">
        <v>1143.9000000000001</v>
      </c>
      <c r="H441">
        <v>19862</v>
      </c>
      <c r="I441" t="s">
        <v>67</v>
      </c>
      <c r="J441">
        <v>6.54</v>
      </c>
      <c r="K441">
        <v>8834.94</v>
      </c>
    </row>
    <row r="442" spans="1:11">
      <c r="A442" t="s">
        <v>201</v>
      </c>
      <c r="B442" s="4">
        <v>46098</v>
      </c>
      <c r="C442" t="s">
        <v>49</v>
      </c>
      <c r="D442" t="s">
        <v>31</v>
      </c>
      <c r="E442">
        <v>10.6</v>
      </c>
      <c r="F442">
        <v>21811.599999999999</v>
      </c>
      <c r="G442">
        <v>2009.4</v>
      </c>
      <c r="H442">
        <v>19802.2</v>
      </c>
      <c r="I442" t="s">
        <v>77</v>
      </c>
      <c r="J442">
        <v>3.39</v>
      </c>
      <c r="K442">
        <v>7908.03</v>
      </c>
    </row>
    <row r="443" spans="1:11">
      <c r="A443" t="s">
        <v>99</v>
      </c>
      <c r="B443" s="4">
        <v>46098</v>
      </c>
      <c r="C443" t="s">
        <v>45</v>
      </c>
      <c r="D443" t="s">
        <v>35</v>
      </c>
      <c r="E443">
        <v>6.6</v>
      </c>
      <c r="F443">
        <v>57548.6</v>
      </c>
      <c r="G443">
        <v>9037.2000000000007</v>
      </c>
      <c r="H443">
        <v>48511.4</v>
      </c>
      <c r="I443" t="s">
        <v>77</v>
      </c>
      <c r="J443">
        <v>6.54</v>
      </c>
      <c r="K443">
        <v>10475.68</v>
      </c>
    </row>
    <row r="444" spans="1:11">
      <c r="A444" t="s">
        <v>171</v>
      </c>
      <c r="B444" s="4">
        <v>46163</v>
      </c>
      <c r="C444" t="s">
        <v>47</v>
      </c>
      <c r="D444" t="s">
        <v>35</v>
      </c>
      <c r="E444">
        <v>14.9</v>
      </c>
      <c r="F444">
        <v>106343.3</v>
      </c>
      <c r="G444">
        <v>5127</v>
      </c>
      <c r="H444">
        <v>101216.3</v>
      </c>
      <c r="I444" t="s">
        <v>67</v>
      </c>
      <c r="J444">
        <v>6.27</v>
      </c>
      <c r="K444">
        <v>12403.77</v>
      </c>
    </row>
    <row r="445" spans="1:11">
      <c r="A445" t="s">
        <v>250</v>
      </c>
      <c r="B445" s="4">
        <v>46203</v>
      </c>
      <c r="C445" t="s">
        <v>47</v>
      </c>
      <c r="D445" t="s">
        <v>35</v>
      </c>
      <c r="E445">
        <v>2.6</v>
      </c>
      <c r="F445">
        <v>13737.1</v>
      </c>
      <c r="G445">
        <v>1380.9</v>
      </c>
      <c r="H445">
        <v>12356.2</v>
      </c>
      <c r="I445" t="s">
        <v>67</v>
      </c>
      <c r="J445">
        <v>5.69</v>
      </c>
      <c r="K445">
        <v>2928.52</v>
      </c>
    </row>
    <row r="446" spans="1:11">
      <c r="A446" t="s">
        <v>175</v>
      </c>
      <c r="B446" s="4">
        <v>46184</v>
      </c>
      <c r="C446" t="s">
        <v>53</v>
      </c>
      <c r="D446" t="s">
        <v>39</v>
      </c>
      <c r="E446">
        <v>8.4</v>
      </c>
      <c r="F446">
        <v>8537.7000000000007</v>
      </c>
      <c r="G446">
        <v>1297</v>
      </c>
      <c r="H446">
        <v>7240.7</v>
      </c>
      <c r="I446" t="s">
        <v>77</v>
      </c>
      <c r="J446">
        <v>3.97</v>
      </c>
      <c r="K446">
        <v>12197.64</v>
      </c>
    </row>
    <row r="447" spans="1:11">
      <c r="A447" t="s">
        <v>203</v>
      </c>
      <c r="B447" s="4">
        <v>46153</v>
      </c>
      <c r="C447" t="s">
        <v>51</v>
      </c>
      <c r="D447" t="s">
        <v>41</v>
      </c>
      <c r="E447">
        <v>2.9</v>
      </c>
      <c r="F447">
        <v>12575.6</v>
      </c>
      <c r="G447">
        <v>927.1</v>
      </c>
      <c r="H447">
        <v>11648.5</v>
      </c>
      <c r="I447" t="s">
        <v>77</v>
      </c>
      <c r="J447">
        <v>2.2200000000000002</v>
      </c>
      <c r="K447">
        <v>3597.27</v>
      </c>
    </row>
    <row r="448" spans="1:11">
      <c r="A448" t="s">
        <v>160</v>
      </c>
      <c r="B448" s="4">
        <v>46000</v>
      </c>
      <c r="C448" t="s">
        <v>49</v>
      </c>
      <c r="D448" t="s">
        <v>31</v>
      </c>
      <c r="E448">
        <v>12.9</v>
      </c>
      <c r="F448">
        <v>16413.599999999999</v>
      </c>
      <c r="G448">
        <v>1733.4</v>
      </c>
      <c r="H448">
        <v>14680.2</v>
      </c>
      <c r="I448" t="s">
        <v>65</v>
      </c>
      <c r="J448">
        <v>3.46</v>
      </c>
      <c r="K448">
        <v>20625.63</v>
      </c>
    </row>
    <row r="449" spans="1:11">
      <c r="A449" t="s">
        <v>197</v>
      </c>
      <c r="B449" s="4">
        <v>46111</v>
      </c>
      <c r="C449" t="s">
        <v>51</v>
      </c>
      <c r="D449" t="s">
        <v>41</v>
      </c>
      <c r="E449">
        <v>9.1999999999999993</v>
      </c>
      <c r="F449">
        <v>46670.9</v>
      </c>
      <c r="G449">
        <v>4916.1000000000004</v>
      </c>
      <c r="H449">
        <v>41754.800000000003</v>
      </c>
      <c r="I449" t="s">
        <v>70</v>
      </c>
      <c r="J449">
        <v>2.41</v>
      </c>
      <c r="K449">
        <v>8931.4500000000007</v>
      </c>
    </row>
    <row r="450" spans="1:11">
      <c r="A450" t="s">
        <v>107</v>
      </c>
      <c r="B450" s="4">
        <v>46082</v>
      </c>
      <c r="C450" t="s">
        <v>47</v>
      </c>
      <c r="D450" t="s">
        <v>37</v>
      </c>
      <c r="E450">
        <v>5.8</v>
      </c>
      <c r="F450">
        <v>22486</v>
      </c>
      <c r="G450">
        <v>2859.1</v>
      </c>
      <c r="H450">
        <v>19626.900000000001</v>
      </c>
      <c r="I450" t="s">
        <v>67</v>
      </c>
      <c r="J450">
        <v>7.91</v>
      </c>
      <c r="K450">
        <v>6605.17</v>
      </c>
    </row>
    <row r="451" spans="1:11">
      <c r="A451" t="s">
        <v>246</v>
      </c>
      <c r="B451" s="4">
        <v>46178</v>
      </c>
      <c r="C451" t="s">
        <v>49</v>
      </c>
      <c r="D451" t="s">
        <v>41</v>
      </c>
      <c r="E451">
        <v>14.8</v>
      </c>
      <c r="F451">
        <v>114185.8</v>
      </c>
      <c r="G451">
        <v>7827.9</v>
      </c>
      <c r="H451">
        <v>106357.9</v>
      </c>
      <c r="I451" t="s">
        <v>77</v>
      </c>
      <c r="J451">
        <v>2.2799999999999998</v>
      </c>
      <c r="K451">
        <v>21019.18</v>
      </c>
    </row>
    <row r="452" spans="1:11">
      <c r="A452" t="s">
        <v>180</v>
      </c>
      <c r="B452" s="4">
        <v>45911</v>
      </c>
      <c r="C452" t="s">
        <v>49</v>
      </c>
      <c r="D452" t="s">
        <v>37</v>
      </c>
      <c r="E452">
        <v>7.9</v>
      </c>
      <c r="F452">
        <v>44592.7</v>
      </c>
      <c r="G452">
        <v>3186.5</v>
      </c>
      <c r="H452">
        <v>41406.199999999997</v>
      </c>
      <c r="I452" t="s">
        <v>77</v>
      </c>
      <c r="J452">
        <v>7.75</v>
      </c>
      <c r="K452">
        <v>6399.82</v>
      </c>
    </row>
    <row r="453" spans="1:11">
      <c r="A453" t="s">
        <v>213</v>
      </c>
      <c r="B453" s="4">
        <v>45865</v>
      </c>
      <c r="C453" t="s">
        <v>49</v>
      </c>
      <c r="D453" t="s">
        <v>35</v>
      </c>
      <c r="E453">
        <v>3.1</v>
      </c>
      <c r="F453">
        <v>19429.8</v>
      </c>
      <c r="G453">
        <v>2963.4</v>
      </c>
      <c r="H453">
        <v>16466.400000000001</v>
      </c>
      <c r="I453" t="s">
        <v>70</v>
      </c>
      <c r="J453">
        <v>7.17</v>
      </c>
      <c r="K453">
        <v>4481.57</v>
      </c>
    </row>
    <row r="454" spans="1:11">
      <c r="A454" t="s">
        <v>251</v>
      </c>
      <c r="B454" s="4">
        <v>46003</v>
      </c>
      <c r="C454" t="s">
        <v>53</v>
      </c>
      <c r="D454" t="s">
        <v>31</v>
      </c>
      <c r="E454">
        <v>7.2</v>
      </c>
      <c r="F454">
        <v>15841</v>
      </c>
      <c r="G454">
        <v>1925.3</v>
      </c>
      <c r="H454">
        <v>13915.7</v>
      </c>
      <c r="I454" t="s">
        <v>65</v>
      </c>
      <c r="J454">
        <v>2.73</v>
      </c>
      <c r="K454">
        <v>10544.01</v>
      </c>
    </row>
    <row r="455" spans="1:11">
      <c r="A455" t="s">
        <v>214</v>
      </c>
      <c r="B455" s="4">
        <v>45911</v>
      </c>
      <c r="C455" t="s">
        <v>47</v>
      </c>
      <c r="D455" t="s">
        <v>39</v>
      </c>
      <c r="E455">
        <v>9.3000000000000007</v>
      </c>
      <c r="F455">
        <v>16909.7</v>
      </c>
      <c r="G455">
        <v>1140.2</v>
      </c>
      <c r="H455">
        <v>15769.5</v>
      </c>
      <c r="I455" t="s">
        <v>67</v>
      </c>
      <c r="J455">
        <v>4.32</v>
      </c>
      <c r="K455">
        <v>9720.18</v>
      </c>
    </row>
    <row r="456" spans="1:11">
      <c r="A456" t="s">
        <v>85</v>
      </c>
      <c r="B456" s="4">
        <v>45927</v>
      </c>
      <c r="C456" t="s">
        <v>51</v>
      </c>
      <c r="D456" t="s">
        <v>39</v>
      </c>
      <c r="E456">
        <v>13.4</v>
      </c>
      <c r="F456">
        <v>17695</v>
      </c>
      <c r="G456">
        <v>1669.3</v>
      </c>
      <c r="H456">
        <v>16025.7</v>
      </c>
      <c r="I456" t="s">
        <v>67</v>
      </c>
      <c r="J456">
        <v>4.41</v>
      </c>
      <c r="K456">
        <v>15247.51</v>
      </c>
    </row>
    <row r="457" spans="1:11">
      <c r="A457" t="s">
        <v>98</v>
      </c>
      <c r="B457" s="4">
        <v>45960</v>
      </c>
      <c r="C457" t="s">
        <v>53</v>
      </c>
      <c r="D457" t="s">
        <v>37</v>
      </c>
      <c r="E457">
        <v>6.6</v>
      </c>
      <c r="F457">
        <v>30945.9</v>
      </c>
      <c r="G457">
        <v>4568.8999999999996</v>
      </c>
      <c r="H457">
        <v>26377</v>
      </c>
      <c r="I457" t="s">
        <v>70</v>
      </c>
      <c r="J457">
        <v>8.3800000000000008</v>
      </c>
      <c r="K457">
        <v>5662.07</v>
      </c>
    </row>
    <row r="458" spans="1:11">
      <c r="A458" t="s">
        <v>184</v>
      </c>
      <c r="B458" s="4">
        <v>46113</v>
      </c>
      <c r="C458" t="s">
        <v>49</v>
      </c>
      <c r="D458" t="s">
        <v>35</v>
      </c>
      <c r="E458">
        <v>14.6</v>
      </c>
      <c r="F458">
        <v>98681</v>
      </c>
      <c r="G458">
        <v>12629.8</v>
      </c>
      <c r="H458">
        <v>86051.199999999997</v>
      </c>
      <c r="I458" t="s">
        <v>67</v>
      </c>
      <c r="J458">
        <v>5.64</v>
      </c>
      <c r="K458">
        <v>23556.63</v>
      </c>
    </row>
    <row r="459" spans="1:11">
      <c r="A459" t="s">
        <v>183</v>
      </c>
      <c r="B459" s="4">
        <v>45865</v>
      </c>
      <c r="C459" t="s">
        <v>45</v>
      </c>
      <c r="D459" t="s">
        <v>41</v>
      </c>
      <c r="E459">
        <v>2.2000000000000002</v>
      </c>
      <c r="F459">
        <v>9872.1</v>
      </c>
      <c r="G459">
        <v>1092.8</v>
      </c>
      <c r="H459">
        <v>8779.2999999999993</v>
      </c>
      <c r="I459" t="s">
        <v>77</v>
      </c>
      <c r="J459">
        <v>2.4900000000000002</v>
      </c>
      <c r="K459">
        <v>1748.75</v>
      </c>
    </row>
    <row r="460" spans="1:11">
      <c r="A460" t="s">
        <v>230</v>
      </c>
      <c r="B460" s="4">
        <v>46024</v>
      </c>
      <c r="C460" t="s">
        <v>53</v>
      </c>
      <c r="D460" t="s">
        <v>37</v>
      </c>
      <c r="E460">
        <v>10.5</v>
      </c>
      <c r="F460">
        <v>51274.6</v>
      </c>
      <c r="G460">
        <v>2598.3000000000002</v>
      </c>
      <c r="H460">
        <v>48676.3</v>
      </c>
      <c r="I460" t="s">
        <v>67</v>
      </c>
      <c r="J460">
        <v>9.7799999999999994</v>
      </c>
      <c r="K460">
        <v>12766.05</v>
      </c>
    </row>
    <row r="461" spans="1:11">
      <c r="A461" t="s">
        <v>137</v>
      </c>
      <c r="B461" s="4">
        <v>45969</v>
      </c>
      <c r="C461" t="s">
        <v>49</v>
      </c>
      <c r="D461" t="s">
        <v>35</v>
      </c>
      <c r="E461">
        <v>10.1</v>
      </c>
      <c r="F461">
        <v>81210.100000000006</v>
      </c>
      <c r="G461">
        <v>6327.6</v>
      </c>
      <c r="H461">
        <v>74882.5</v>
      </c>
      <c r="I461" t="s">
        <v>67</v>
      </c>
      <c r="J461">
        <v>7.77</v>
      </c>
      <c r="K461">
        <v>7596.41</v>
      </c>
    </row>
    <row r="462" spans="1:11">
      <c r="A462" t="s">
        <v>233</v>
      </c>
      <c r="B462" s="4">
        <v>46104</v>
      </c>
      <c r="C462" t="s">
        <v>45</v>
      </c>
      <c r="D462" t="s">
        <v>41</v>
      </c>
      <c r="E462">
        <v>1.3</v>
      </c>
      <c r="F462">
        <v>8567.5</v>
      </c>
      <c r="G462">
        <v>1046</v>
      </c>
      <c r="H462">
        <v>7521.5</v>
      </c>
      <c r="I462" t="s">
        <v>70</v>
      </c>
      <c r="J462">
        <v>2.31</v>
      </c>
      <c r="K462">
        <v>1580.94</v>
      </c>
    </row>
    <row r="463" spans="1:11">
      <c r="A463" t="s">
        <v>224</v>
      </c>
      <c r="B463" s="4">
        <v>46185</v>
      </c>
      <c r="C463" t="s">
        <v>49</v>
      </c>
      <c r="D463" t="s">
        <v>41</v>
      </c>
      <c r="E463">
        <v>2.2000000000000002</v>
      </c>
      <c r="F463">
        <v>10450.799999999999</v>
      </c>
      <c r="G463">
        <v>1129.4000000000001</v>
      </c>
      <c r="H463">
        <v>9321.4</v>
      </c>
      <c r="I463" t="s">
        <v>70</v>
      </c>
      <c r="J463">
        <v>2.27</v>
      </c>
      <c r="K463">
        <v>1688.01</v>
      </c>
    </row>
    <row r="464" spans="1:11">
      <c r="A464" t="s">
        <v>136</v>
      </c>
      <c r="B464" s="4">
        <v>46119</v>
      </c>
      <c r="C464" t="s">
        <v>45</v>
      </c>
      <c r="D464" t="s">
        <v>37</v>
      </c>
      <c r="E464">
        <v>2</v>
      </c>
      <c r="F464">
        <v>7935.4</v>
      </c>
      <c r="G464">
        <v>1149</v>
      </c>
      <c r="H464">
        <v>6786.4</v>
      </c>
      <c r="I464" t="s">
        <v>77</v>
      </c>
      <c r="J464">
        <v>9.6199999999999992</v>
      </c>
      <c r="K464">
        <v>1799.74</v>
      </c>
    </row>
    <row r="465" spans="1:11">
      <c r="A465" t="s">
        <v>160</v>
      </c>
      <c r="B465" s="4">
        <v>46011</v>
      </c>
      <c r="C465" t="s">
        <v>49</v>
      </c>
      <c r="D465" t="s">
        <v>41</v>
      </c>
      <c r="E465">
        <v>8.8000000000000007</v>
      </c>
      <c r="F465">
        <v>47823.8</v>
      </c>
      <c r="G465">
        <v>3709.4</v>
      </c>
      <c r="H465">
        <v>44114.400000000001</v>
      </c>
      <c r="I465" t="s">
        <v>67</v>
      </c>
      <c r="J465">
        <v>2.56</v>
      </c>
      <c r="K465">
        <v>6803.75</v>
      </c>
    </row>
    <row r="466" spans="1:11">
      <c r="A466" t="s">
        <v>190</v>
      </c>
      <c r="B466" s="4">
        <v>45951</v>
      </c>
      <c r="C466" t="s">
        <v>49</v>
      </c>
      <c r="D466" t="s">
        <v>39</v>
      </c>
      <c r="E466">
        <v>2.5</v>
      </c>
      <c r="F466">
        <v>4866.8</v>
      </c>
      <c r="G466">
        <v>727.4</v>
      </c>
      <c r="H466">
        <v>4139.3999999999996</v>
      </c>
      <c r="I466" t="s">
        <v>67</v>
      </c>
      <c r="J466">
        <v>4.8499999999999996</v>
      </c>
      <c r="K466">
        <v>3919.14</v>
      </c>
    </row>
    <row r="467" spans="1:11">
      <c r="A467" t="s">
        <v>148</v>
      </c>
      <c r="B467" s="4">
        <v>46188</v>
      </c>
      <c r="C467" t="s">
        <v>45</v>
      </c>
      <c r="D467" t="s">
        <v>35</v>
      </c>
      <c r="E467">
        <v>5.9</v>
      </c>
      <c r="F467">
        <v>46094.1</v>
      </c>
      <c r="G467">
        <v>4577.3999999999996</v>
      </c>
      <c r="H467">
        <v>41516.699999999997</v>
      </c>
      <c r="I467" t="s">
        <v>70</v>
      </c>
      <c r="J467">
        <v>6.88</v>
      </c>
      <c r="K467">
        <v>7213.9</v>
      </c>
    </row>
    <row r="468" spans="1:11">
      <c r="A468" t="s">
        <v>69</v>
      </c>
      <c r="B468" s="4">
        <v>45866</v>
      </c>
      <c r="C468" t="s">
        <v>45</v>
      </c>
      <c r="D468" t="s">
        <v>35</v>
      </c>
      <c r="E468">
        <v>12.4</v>
      </c>
      <c r="F468">
        <v>122739</v>
      </c>
      <c r="G468">
        <v>16046.5</v>
      </c>
      <c r="H468">
        <v>106692.5</v>
      </c>
      <c r="I468" t="s">
        <v>77</v>
      </c>
      <c r="J468">
        <v>6.01</v>
      </c>
      <c r="K468">
        <v>10716.54</v>
      </c>
    </row>
    <row r="469" spans="1:11">
      <c r="A469" t="s">
        <v>249</v>
      </c>
      <c r="B469" s="4">
        <v>46082</v>
      </c>
      <c r="C469" t="s">
        <v>53</v>
      </c>
      <c r="D469" t="s">
        <v>41</v>
      </c>
      <c r="E469">
        <v>3.1</v>
      </c>
      <c r="F469">
        <v>17188.3</v>
      </c>
      <c r="G469">
        <v>2397.1999999999998</v>
      </c>
      <c r="H469">
        <v>14791.1</v>
      </c>
      <c r="I469" t="s">
        <v>77</v>
      </c>
      <c r="J469">
        <v>2.29</v>
      </c>
      <c r="K469">
        <v>2290.7600000000002</v>
      </c>
    </row>
    <row r="470" spans="1:11">
      <c r="A470" t="s">
        <v>154</v>
      </c>
      <c r="B470" s="4">
        <v>45905</v>
      </c>
      <c r="C470" t="s">
        <v>45</v>
      </c>
      <c r="D470" t="s">
        <v>41</v>
      </c>
      <c r="E470">
        <v>2.5</v>
      </c>
      <c r="F470">
        <v>18137</v>
      </c>
      <c r="G470">
        <v>1606.1</v>
      </c>
      <c r="H470">
        <v>16530.900000000001</v>
      </c>
      <c r="I470" t="s">
        <v>65</v>
      </c>
      <c r="J470">
        <v>2.77</v>
      </c>
      <c r="K470">
        <v>4402.42</v>
      </c>
    </row>
    <row r="471" spans="1:11">
      <c r="A471" t="s">
        <v>66</v>
      </c>
      <c r="B471" s="4">
        <v>45944</v>
      </c>
      <c r="C471" t="s">
        <v>51</v>
      </c>
      <c r="D471" t="s">
        <v>37</v>
      </c>
      <c r="E471">
        <v>14</v>
      </c>
      <c r="F471">
        <v>61636.800000000003</v>
      </c>
      <c r="G471">
        <v>4327.5</v>
      </c>
      <c r="H471">
        <v>57309.3</v>
      </c>
      <c r="I471" t="s">
        <v>65</v>
      </c>
      <c r="J471">
        <v>8.16</v>
      </c>
      <c r="K471">
        <v>11784.09</v>
      </c>
    </row>
    <row r="472" spans="1:11">
      <c r="A472" t="s">
        <v>250</v>
      </c>
      <c r="B472" s="4">
        <v>46149</v>
      </c>
      <c r="C472" t="s">
        <v>47</v>
      </c>
      <c r="D472" t="s">
        <v>35</v>
      </c>
      <c r="E472">
        <v>10.5</v>
      </c>
      <c r="F472">
        <v>92389.2</v>
      </c>
      <c r="G472">
        <v>14612</v>
      </c>
      <c r="H472">
        <v>77777.2</v>
      </c>
      <c r="I472" t="s">
        <v>77</v>
      </c>
      <c r="J472">
        <v>7.3</v>
      </c>
      <c r="K472">
        <v>18320.689999999999</v>
      </c>
    </row>
    <row r="473" spans="1:11">
      <c r="A473" t="s">
        <v>252</v>
      </c>
      <c r="B473" s="4">
        <v>46088</v>
      </c>
      <c r="C473" t="s">
        <v>53</v>
      </c>
      <c r="D473" t="s">
        <v>33</v>
      </c>
      <c r="E473">
        <v>13.5</v>
      </c>
      <c r="F473">
        <v>32586.2</v>
      </c>
      <c r="G473">
        <v>1055.0999999999999</v>
      </c>
      <c r="H473">
        <v>31531.1</v>
      </c>
      <c r="I473" t="s">
        <v>70</v>
      </c>
      <c r="J473">
        <v>5.52</v>
      </c>
      <c r="K473">
        <v>18948.650000000001</v>
      </c>
    </row>
    <row r="474" spans="1:11">
      <c r="A474" t="s">
        <v>253</v>
      </c>
      <c r="B474" s="4">
        <v>45871</v>
      </c>
      <c r="C474" t="s">
        <v>45</v>
      </c>
      <c r="D474" t="s">
        <v>33</v>
      </c>
      <c r="E474">
        <v>4</v>
      </c>
      <c r="F474">
        <v>7874.8</v>
      </c>
      <c r="G474">
        <v>1255.0999999999999</v>
      </c>
      <c r="H474">
        <v>6619.7</v>
      </c>
      <c r="I474" t="s">
        <v>65</v>
      </c>
      <c r="J474">
        <v>6.25</v>
      </c>
      <c r="K474">
        <v>5460.32</v>
      </c>
    </row>
    <row r="475" spans="1:11">
      <c r="A475" t="s">
        <v>207</v>
      </c>
      <c r="B475" s="4">
        <v>45972</v>
      </c>
      <c r="C475" t="s">
        <v>51</v>
      </c>
      <c r="D475" t="s">
        <v>33</v>
      </c>
      <c r="E475">
        <v>4.4000000000000004</v>
      </c>
      <c r="F475">
        <v>12859.7</v>
      </c>
      <c r="G475">
        <v>633.9</v>
      </c>
      <c r="H475">
        <v>12225.8</v>
      </c>
      <c r="I475" t="s">
        <v>65</v>
      </c>
      <c r="J475">
        <v>6.26</v>
      </c>
      <c r="K475">
        <v>4052.62</v>
      </c>
    </row>
    <row r="476" spans="1:11">
      <c r="A476" t="s">
        <v>254</v>
      </c>
      <c r="B476" s="4">
        <v>46118</v>
      </c>
      <c r="C476" t="s">
        <v>49</v>
      </c>
      <c r="D476" t="s">
        <v>39</v>
      </c>
      <c r="E476">
        <v>7.9</v>
      </c>
      <c r="F476">
        <v>10537.7</v>
      </c>
      <c r="G476">
        <v>584.20000000000005</v>
      </c>
      <c r="H476">
        <v>9953.5</v>
      </c>
      <c r="I476" t="s">
        <v>65</v>
      </c>
      <c r="J476">
        <v>4.82</v>
      </c>
      <c r="K476">
        <v>11453.45</v>
      </c>
    </row>
    <row r="477" spans="1:11">
      <c r="A477" t="s">
        <v>215</v>
      </c>
      <c r="B477" s="4">
        <v>46022</v>
      </c>
      <c r="C477" t="s">
        <v>51</v>
      </c>
      <c r="D477" t="s">
        <v>35</v>
      </c>
      <c r="E477">
        <v>14.7</v>
      </c>
      <c r="F477">
        <v>100934.3</v>
      </c>
      <c r="G477">
        <v>14569.3</v>
      </c>
      <c r="H477">
        <v>86365</v>
      </c>
      <c r="I477" t="s">
        <v>65</v>
      </c>
      <c r="J477">
        <v>6.54</v>
      </c>
      <c r="K477">
        <v>15478.57</v>
      </c>
    </row>
    <row r="478" spans="1:11">
      <c r="A478" t="s">
        <v>90</v>
      </c>
      <c r="B478" s="4">
        <v>45863</v>
      </c>
      <c r="C478" t="s">
        <v>47</v>
      </c>
      <c r="D478" t="s">
        <v>41</v>
      </c>
      <c r="E478">
        <v>12.3</v>
      </c>
      <c r="F478">
        <v>88632.9</v>
      </c>
      <c r="G478">
        <v>2241.4</v>
      </c>
      <c r="H478">
        <v>86391.5</v>
      </c>
      <c r="I478" t="s">
        <v>65</v>
      </c>
      <c r="J478">
        <v>2.73</v>
      </c>
      <c r="K478">
        <v>8488.02</v>
      </c>
    </row>
    <row r="479" spans="1:11">
      <c r="A479" t="s">
        <v>240</v>
      </c>
      <c r="B479" s="4">
        <v>46079</v>
      </c>
      <c r="C479" t="s">
        <v>49</v>
      </c>
      <c r="D479" t="s">
        <v>37</v>
      </c>
      <c r="E479">
        <v>5.9</v>
      </c>
      <c r="F479">
        <v>26033.8</v>
      </c>
      <c r="G479">
        <v>3427.4</v>
      </c>
      <c r="H479">
        <v>22606.400000000001</v>
      </c>
      <c r="I479" t="s">
        <v>67</v>
      </c>
      <c r="J479">
        <v>10.08</v>
      </c>
      <c r="K479">
        <v>7067.05</v>
      </c>
    </row>
    <row r="480" spans="1:11">
      <c r="A480" t="s">
        <v>241</v>
      </c>
      <c r="B480" s="4">
        <v>46091</v>
      </c>
      <c r="C480" t="s">
        <v>53</v>
      </c>
      <c r="D480" t="s">
        <v>33</v>
      </c>
      <c r="E480">
        <v>4.2</v>
      </c>
      <c r="F480">
        <v>9640.9</v>
      </c>
      <c r="G480">
        <v>227.7</v>
      </c>
      <c r="H480">
        <v>9413.2000000000007</v>
      </c>
      <c r="I480" t="s">
        <v>70</v>
      </c>
      <c r="J480">
        <v>5.34</v>
      </c>
      <c r="K480">
        <v>3011.2</v>
      </c>
    </row>
    <row r="481" spans="1:11">
      <c r="A481" t="s">
        <v>195</v>
      </c>
      <c r="B481" s="4">
        <v>45841</v>
      </c>
      <c r="C481" t="s">
        <v>51</v>
      </c>
      <c r="D481" t="s">
        <v>35</v>
      </c>
      <c r="E481">
        <v>5.4</v>
      </c>
      <c r="F481">
        <v>47844.6</v>
      </c>
      <c r="G481">
        <v>2780.7</v>
      </c>
      <c r="H481">
        <v>45063.9</v>
      </c>
      <c r="I481" t="s">
        <v>77</v>
      </c>
      <c r="J481">
        <v>5.65</v>
      </c>
      <c r="K481">
        <v>6974.45</v>
      </c>
    </row>
    <row r="482" spans="1:11">
      <c r="A482" t="s">
        <v>103</v>
      </c>
      <c r="B482" s="4">
        <v>46023</v>
      </c>
      <c r="C482" t="s">
        <v>45</v>
      </c>
      <c r="D482" t="s">
        <v>41</v>
      </c>
      <c r="E482">
        <v>13.9</v>
      </c>
      <c r="F482">
        <v>108880.4</v>
      </c>
      <c r="G482">
        <v>4220.7</v>
      </c>
      <c r="H482">
        <v>104659.7</v>
      </c>
      <c r="I482" t="s">
        <v>67</v>
      </c>
      <c r="J482">
        <v>2.46</v>
      </c>
      <c r="K482">
        <v>23681.11</v>
      </c>
    </row>
    <row r="483" spans="1:11">
      <c r="A483" t="s">
        <v>255</v>
      </c>
      <c r="B483" s="4">
        <v>46006</v>
      </c>
      <c r="C483" t="s">
        <v>45</v>
      </c>
      <c r="D483" t="s">
        <v>39</v>
      </c>
      <c r="E483">
        <v>6</v>
      </c>
      <c r="F483">
        <v>11563.8</v>
      </c>
      <c r="G483">
        <v>1799</v>
      </c>
      <c r="H483">
        <v>9764.7999999999993</v>
      </c>
      <c r="I483" t="s">
        <v>67</v>
      </c>
      <c r="J483">
        <v>4.5</v>
      </c>
      <c r="K483">
        <v>4042.21</v>
      </c>
    </row>
    <row r="484" spans="1:11">
      <c r="A484" t="s">
        <v>168</v>
      </c>
      <c r="B484" s="4">
        <v>45841</v>
      </c>
      <c r="C484" t="s">
        <v>49</v>
      </c>
      <c r="D484" t="s">
        <v>35</v>
      </c>
      <c r="E484">
        <v>3.6</v>
      </c>
      <c r="F484">
        <v>21505.4</v>
      </c>
      <c r="G484">
        <v>2715.9</v>
      </c>
      <c r="H484">
        <v>18789.5</v>
      </c>
      <c r="I484" t="s">
        <v>65</v>
      </c>
      <c r="J484">
        <v>7.08</v>
      </c>
      <c r="K484">
        <v>5997.39</v>
      </c>
    </row>
    <row r="485" spans="1:11">
      <c r="A485" t="s">
        <v>137</v>
      </c>
      <c r="B485" s="4">
        <v>45912</v>
      </c>
      <c r="C485" t="s">
        <v>53</v>
      </c>
      <c r="D485" t="s">
        <v>41</v>
      </c>
      <c r="E485">
        <v>6.3</v>
      </c>
      <c r="F485">
        <v>29171.5</v>
      </c>
      <c r="G485">
        <v>4117.8</v>
      </c>
      <c r="H485">
        <v>25053.7</v>
      </c>
      <c r="I485" t="s">
        <v>70</v>
      </c>
      <c r="J485">
        <v>2.15</v>
      </c>
      <c r="K485">
        <v>11065.77</v>
      </c>
    </row>
    <row r="486" spans="1:11">
      <c r="A486" t="s">
        <v>104</v>
      </c>
      <c r="B486" s="4">
        <v>45857</v>
      </c>
      <c r="C486" t="s">
        <v>51</v>
      </c>
      <c r="D486" t="s">
        <v>35</v>
      </c>
      <c r="E486">
        <v>3.7</v>
      </c>
      <c r="F486">
        <v>33909.5</v>
      </c>
      <c r="G486">
        <v>1392.7</v>
      </c>
      <c r="H486">
        <v>32516.799999999999</v>
      </c>
      <c r="I486" t="s">
        <v>70</v>
      </c>
      <c r="J486">
        <v>6.88</v>
      </c>
      <c r="K486">
        <v>2561.62</v>
      </c>
    </row>
    <row r="487" spans="1:11">
      <c r="A487" t="s">
        <v>154</v>
      </c>
      <c r="B487" s="4">
        <v>46095</v>
      </c>
      <c r="C487" t="s">
        <v>47</v>
      </c>
      <c r="D487" t="s">
        <v>35</v>
      </c>
      <c r="E487">
        <v>9.4</v>
      </c>
      <c r="F487">
        <v>48660.4</v>
      </c>
      <c r="G487">
        <v>2003.8</v>
      </c>
      <c r="H487">
        <v>46656.6</v>
      </c>
      <c r="I487" t="s">
        <v>77</v>
      </c>
      <c r="J487">
        <v>6.64</v>
      </c>
      <c r="K487">
        <v>15012.35</v>
      </c>
    </row>
    <row r="488" spans="1:11">
      <c r="A488" t="s">
        <v>74</v>
      </c>
      <c r="B488" s="4">
        <v>45929</v>
      </c>
      <c r="C488" t="s">
        <v>45</v>
      </c>
      <c r="D488" t="s">
        <v>31</v>
      </c>
      <c r="E488">
        <v>3.6</v>
      </c>
      <c r="F488">
        <v>7121.6</v>
      </c>
      <c r="G488">
        <v>676.7</v>
      </c>
      <c r="H488">
        <v>6444.9</v>
      </c>
      <c r="I488" t="s">
        <v>70</v>
      </c>
      <c r="J488">
        <v>3.37</v>
      </c>
      <c r="K488">
        <v>2591.0300000000002</v>
      </c>
    </row>
    <row r="489" spans="1:11">
      <c r="A489" t="s">
        <v>121</v>
      </c>
      <c r="B489" s="4">
        <v>46145</v>
      </c>
      <c r="C489" t="s">
        <v>53</v>
      </c>
      <c r="D489" t="s">
        <v>39</v>
      </c>
      <c r="E489">
        <v>1.8</v>
      </c>
      <c r="F489">
        <v>3634.5</v>
      </c>
      <c r="G489">
        <v>262.8</v>
      </c>
      <c r="H489">
        <v>3371.7</v>
      </c>
      <c r="I489" t="s">
        <v>67</v>
      </c>
      <c r="J489">
        <v>4.47</v>
      </c>
      <c r="K489">
        <v>2701.43</v>
      </c>
    </row>
    <row r="490" spans="1:11">
      <c r="A490" t="s">
        <v>202</v>
      </c>
      <c r="B490" s="4">
        <v>46024</v>
      </c>
      <c r="C490" t="s">
        <v>49</v>
      </c>
      <c r="D490" t="s">
        <v>37</v>
      </c>
      <c r="E490">
        <v>2.2999999999999998</v>
      </c>
      <c r="F490">
        <v>7504.9</v>
      </c>
      <c r="G490">
        <v>1160.9000000000001</v>
      </c>
      <c r="H490">
        <v>6344</v>
      </c>
      <c r="I490" t="s">
        <v>67</v>
      </c>
      <c r="J490">
        <v>8.5399999999999991</v>
      </c>
      <c r="K490">
        <v>4117.1099999999997</v>
      </c>
    </row>
    <row r="491" spans="1:11">
      <c r="A491" t="s">
        <v>256</v>
      </c>
      <c r="B491" s="4">
        <v>46075</v>
      </c>
      <c r="C491" t="s">
        <v>49</v>
      </c>
      <c r="D491" t="s">
        <v>37</v>
      </c>
      <c r="E491">
        <v>3.7</v>
      </c>
      <c r="F491">
        <v>22498.1</v>
      </c>
      <c r="G491">
        <v>2339</v>
      </c>
      <c r="H491">
        <v>20159.099999999999</v>
      </c>
      <c r="I491" t="s">
        <v>65</v>
      </c>
      <c r="J491">
        <v>8.58</v>
      </c>
      <c r="K491">
        <v>3231.42</v>
      </c>
    </row>
    <row r="492" spans="1:11">
      <c r="A492" t="s">
        <v>219</v>
      </c>
      <c r="B492" s="4">
        <v>46202</v>
      </c>
      <c r="C492" t="s">
        <v>47</v>
      </c>
      <c r="D492" t="s">
        <v>39</v>
      </c>
      <c r="E492">
        <v>2.4</v>
      </c>
      <c r="F492">
        <v>4295</v>
      </c>
      <c r="G492">
        <v>605.29999999999995</v>
      </c>
      <c r="H492">
        <v>3689.7</v>
      </c>
      <c r="I492" t="s">
        <v>77</v>
      </c>
      <c r="J492">
        <v>4.01</v>
      </c>
      <c r="K492">
        <v>3610.08</v>
      </c>
    </row>
    <row r="493" spans="1:11">
      <c r="A493" t="s">
        <v>228</v>
      </c>
      <c r="B493" s="4">
        <v>46082</v>
      </c>
      <c r="C493" t="s">
        <v>49</v>
      </c>
      <c r="D493" t="s">
        <v>35</v>
      </c>
      <c r="E493">
        <v>1.5</v>
      </c>
      <c r="F493">
        <v>7443.7</v>
      </c>
      <c r="G493">
        <v>1081.2</v>
      </c>
      <c r="H493">
        <v>6362.5</v>
      </c>
      <c r="I493" t="s">
        <v>70</v>
      </c>
      <c r="J493">
        <v>6.27</v>
      </c>
      <c r="K493">
        <v>2138.5100000000002</v>
      </c>
    </row>
    <row r="494" spans="1:11">
      <c r="A494" t="s">
        <v>257</v>
      </c>
      <c r="B494" s="4">
        <v>46172</v>
      </c>
      <c r="C494" t="s">
        <v>53</v>
      </c>
      <c r="D494" t="s">
        <v>31</v>
      </c>
      <c r="E494">
        <v>2.2999999999999998</v>
      </c>
      <c r="F494">
        <v>3526.5</v>
      </c>
      <c r="G494">
        <v>338.2</v>
      </c>
      <c r="H494">
        <v>3188.3</v>
      </c>
      <c r="I494" t="s">
        <v>70</v>
      </c>
      <c r="J494">
        <v>3.83</v>
      </c>
      <c r="K494">
        <v>2407.37</v>
      </c>
    </row>
    <row r="495" spans="1:11">
      <c r="A495" t="s">
        <v>152</v>
      </c>
      <c r="B495" s="4">
        <v>46077</v>
      </c>
      <c r="C495" t="s">
        <v>53</v>
      </c>
      <c r="D495" t="s">
        <v>35</v>
      </c>
      <c r="E495">
        <v>9.6999999999999993</v>
      </c>
      <c r="F495">
        <v>83934.399999999994</v>
      </c>
      <c r="G495">
        <v>4245.3999999999996</v>
      </c>
      <c r="H495">
        <v>79689</v>
      </c>
      <c r="I495" t="s">
        <v>65</v>
      </c>
      <c r="J495">
        <v>7.72</v>
      </c>
      <c r="K495">
        <v>10266.15</v>
      </c>
    </row>
    <row r="496" spans="1:11">
      <c r="A496" t="s">
        <v>130</v>
      </c>
      <c r="B496" s="4">
        <v>45887</v>
      </c>
      <c r="C496" t="s">
        <v>45</v>
      </c>
      <c r="D496" t="s">
        <v>33</v>
      </c>
      <c r="E496">
        <v>13.4</v>
      </c>
      <c r="F496">
        <v>26146.400000000001</v>
      </c>
      <c r="G496">
        <v>3004.6</v>
      </c>
      <c r="H496">
        <v>23141.8</v>
      </c>
      <c r="I496" t="s">
        <v>77</v>
      </c>
      <c r="J496">
        <v>6</v>
      </c>
      <c r="K496">
        <v>13842.68</v>
      </c>
    </row>
    <row r="497" spans="1:11">
      <c r="A497" t="s">
        <v>258</v>
      </c>
      <c r="B497" s="4">
        <v>45902</v>
      </c>
      <c r="C497" t="s">
        <v>49</v>
      </c>
      <c r="D497" t="s">
        <v>41</v>
      </c>
      <c r="E497">
        <v>4.5</v>
      </c>
      <c r="F497">
        <v>34818.400000000001</v>
      </c>
      <c r="G497">
        <v>864.6</v>
      </c>
      <c r="H497">
        <v>33953.800000000003</v>
      </c>
      <c r="I497" t="s">
        <v>67</v>
      </c>
      <c r="J497">
        <v>2.82</v>
      </c>
      <c r="K497">
        <v>5798.14</v>
      </c>
    </row>
    <row r="498" spans="1:11">
      <c r="A498" t="s">
        <v>259</v>
      </c>
      <c r="B498" s="4">
        <v>46144</v>
      </c>
      <c r="C498" t="s">
        <v>45</v>
      </c>
      <c r="D498" t="s">
        <v>31</v>
      </c>
      <c r="E498">
        <v>10.6</v>
      </c>
      <c r="F498">
        <v>15774.9</v>
      </c>
      <c r="G498">
        <v>2519.6</v>
      </c>
      <c r="H498">
        <v>13255.3</v>
      </c>
      <c r="I498" t="s">
        <v>65</v>
      </c>
      <c r="J498">
        <v>3.55</v>
      </c>
      <c r="K498">
        <v>18034.37</v>
      </c>
    </row>
    <row r="499" spans="1:11">
      <c r="A499" t="s">
        <v>115</v>
      </c>
      <c r="B499" s="4">
        <v>45939</v>
      </c>
      <c r="C499" t="s">
        <v>47</v>
      </c>
      <c r="D499" t="s">
        <v>33</v>
      </c>
      <c r="E499">
        <v>2</v>
      </c>
      <c r="F499">
        <v>4260.1000000000004</v>
      </c>
      <c r="G499">
        <v>125.1</v>
      </c>
      <c r="H499">
        <v>4135</v>
      </c>
      <c r="I499" t="s">
        <v>70</v>
      </c>
      <c r="J499">
        <v>5.27</v>
      </c>
      <c r="K499">
        <v>3451.76</v>
      </c>
    </row>
    <row r="500" spans="1:11">
      <c r="A500" t="s">
        <v>260</v>
      </c>
      <c r="B500" s="4">
        <v>46012</v>
      </c>
      <c r="C500" t="s">
        <v>53</v>
      </c>
      <c r="D500" t="s">
        <v>35</v>
      </c>
      <c r="E500">
        <v>14.2</v>
      </c>
      <c r="F500">
        <v>136418.4</v>
      </c>
      <c r="G500">
        <v>4916.8999999999996</v>
      </c>
      <c r="H500">
        <v>131501.5</v>
      </c>
      <c r="I500" t="s">
        <v>65</v>
      </c>
      <c r="J500">
        <v>6.04</v>
      </c>
      <c r="K500">
        <v>11506.27</v>
      </c>
    </row>
    <row r="501" spans="1:11">
      <c r="A501" t="s">
        <v>168</v>
      </c>
      <c r="B501" s="4">
        <v>46102</v>
      </c>
      <c r="C501" t="s">
        <v>45</v>
      </c>
      <c r="D501" t="s">
        <v>31</v>
      </c>
      <c r="E501">
        <v>2.1</v>
      </c>
      <c r="F501">
        <v>4362.7</v>
      </c>
      <c r="G501">
        <v>674.7</v>
      </c>
      <c r="H501">
        <v>3688</v>
      </c>
      <c r="I501" t="s">
        <v>67</v>
      </c>
      <c r="J501">
        <v>3.54</v>
      </c>
      <c r="K501">
        <v>2994.66</v>
      </c>
    </row>
    <row r="502" spans="1:11">
      <c r="A502" t="s">
        <v>177</v>
      </c>
      <c r="B502" s="4">
        <v>45861</v>
      </c>
      <c r="C502" t="s">
        <v>47</v>
      </c>
      <c r="D502" t="s">
        <v>35</v>
      </c>
      <c r="E502">
        <v>14.6</v>
      </c>
      <c r="F502">
        <v>80975.399999999994</v>
      </c>
      <c r="G502">
        <v>2826.2</v>
      </c>
      <c r="H502">
        <v>78149.2</v>
      </c>
      <c r="I502" t="s">
        <v>77</v>
      </c>
      <c r="J502">
        <v>6.93</v>
      </c>
      <c r="K502">
        <v>22744.11</v>
      </c>
    </row>
    <row r="503" spans="1:11">
      <c r="A503" t="s">
        <v>82</v>
      </c>
      <c r="B503" s="4">
        <v>46114</v>
      </c>
      <c r="C503" t="s">
        <v>53</v>
      </c>
      <c r="D503" t="s">
        <v>33</v>
      </c>
      <c r="E503">
        <v>2.1</v>
      </c>
      <c r="F503">
        <v>3757.2</v>
      </c>
      <c r="G503">
        <v>552.70000000000005</v>
      </c>
      <c r="H503">
        <v>3204.5</v>
      </c>
      <c r="I503" t="s">
        <v>77</v>
      </c>
      <c r="J503">
        <v>5.31</v>
      </c>
      <c r="K503">
        <v>3041.08</v>
      </c>
    </row>
    <row r="504" spans="1:11">
      <c r="A504" t="s">
        <v>212</v>
      </c>
      <c r="B504" s="4">
        <v>46125</v>
      </c>
      <c r="C504" t="s">
        <v>51</v>
      </c>
      <c r="D504" t="s">
        <v>33</v>
      </c>
      <c r="E504">
        <v>5.3</v>
      </c>
      <c r="F504">
        <v>12303.9</v>
      </c>
      <c r="G504">
        <v>1147</v>
      </c>
      <c r="H504">
        <v>11156.9</v>
      </c>
      <c r="I504" t="s">
        <v>67</v>
      </c>
      <c r="J504">
        <v>6.66</v>
      </c>
      <c r="K504">
        <v>6788.8</v>
      </c>
    </row>
    <row r="505" spans="1:11">
      <c r="A505" t="s">
        <v>122</v>
      </c>
      <c r="B505" s="4">
        <v>45993</v>
      </c>
      <c r="C505" t="s">
        <v>45</v>
      </c>
      <c r="D505" t="s">
        <v>31</v>
      </c>
      <c r="E505">
        <v>5.9</v>
      </c>
      <c r="F505">
        <v>10165.6</v>
      </c>
      <c r="G505">
        <v>863.8</v>
      </c>
      <c r="H505">
        <v>9301.7999999999993</v>
      </c>
      <c r="I505" t="s">
        <v>67</v>
      </c>
      <c r="J505">
        <v>3.51</v>
      </c>
      <c r="K505">
        <v>10063.58</v>
      </c>
    </row>
    <row r="506" spans="1:11">
      <c r="A506" t="s">
        <v>94</v>
      </c>
      <c r="B506" s="4">
        <v>46060</v>
      </c>
      <c r="C506" t="s">
        <v>49</v>
      </c>
      <c r="D506" t="s">
        <v>37</v>
      </c>
      <c r="E506">
        <v>12.5</v>
      </c>
      <c r="F506">
        <v>64237.7</v>
      </c>
      <c r="G506">
        <v>9842.4</v>
      </c>
      <c r="H506">
        <v>54395.3</v>
      </c>
      <c r="I506" t="s">
        <v>67</v>
      </c>
      <c r="J506">
        <v>10.39</v>
      </c>
      <c r="K506">
        <v>18657.919999999998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965B-6C6E-4161-A13D-FD32BE711225}">
  <dimension ref="A3:H53"/>
  <sheetViews>
    <sheetView tabSelected="1" topLeftCell="A16" zoomScaleNormal="100" workbookViewId="0">
      <selection activeCell="D24" sqref="D24"/>
    </sheetView>
  </sheetViews>
  <sheetFormatPr defaultRowHeight="14.25"/>
  <cols>
    <col min="1" max="1" width="13.125" bestFit="1" customWidth="1"/>
    <col min="2" max="2" width="25.875" bestFit="1" customWidth="1"/>
    <col min="3" max="3" width="27.875" bestFit="1" customWidth="1"/>
    <col min="4" max="4" width="31.375" bestFit="1" customWidth="1"/>
    <col min="5" max="5" width="20.875" bestFit="1" customWidth="1"/>
    <col min="6" max="6" width="25.875" bestFit="1" customWidth="1"/>
    <col min="7" max="8" width="19.5" bestFit="1" customWidth="1"/>
    <col min="9" max="9" width="12.375" bestFit="1" customWidth="1"/>
    <col min="10" max="10" width="22.625" bestFit="1" customWidth="1"/>
    <col min="11" max="11" width="17.875" bestFit="1" customWidth="1"/>
    <col min="12" max="12" width="19.25" bestFit="1" customWidth="1"/>
    <col min="13" max="13" width="13.875" bestFit="1" customWidth="1"/>
    <col min="14" max="14" width="31" bestFit="1" customWidth="1"/>
    <col min="15" max="15" width="27" bestFit="1" customWidth="1"/>
    <col min="17" max="17" width="12.125" customWidth="1"/>
    <col min="18" max="18" width="13.875" customWidth="1"/>
  </cols>
  <sheetData>
    <row r="3" spans="1:7">
      <c r="A3" s="15" t="s">
        <v>283</v>
      </c>
      <c r="B3" t="s">
        <v>285</v>
      </c>
    </row>
    <row r="4" spans="1:7">
      <c r="A4" s="16" t="s">
        <v>36</v>
      </c>
      <c r="B4" s="10">
        <v>34941695.394000001</v>
      </c>
    </row>
    <row r="5" spans="1:7">
      <c r="A5" s="16" t="s">
        <v>38</v>
      </c>
      <c r="B5" s="10">
        <v>22972065.900000002</v>
      </c>
    </row>
    <row r="6" spans="1:7">
      <c r="A6" s="16" t="s">
        <v>34</v>
      </c>
      <c r="B6" s="10">
        <v>8368911.1699999999</v>
      </c>
    </row>
    <row r="7" spans="1:7">
      <c r="A7" s="16" t="s">
        <v>42</v>
      </c>
      <c r="B7" s="10">
        <v>7574519.4180000033</v>
      </c>
    </row>
    <row r="8" spans="1:7">
      <c r="A8" s="16" t="s">
        <v>40</v>
      </c>
      <c r="B8" s="10">
        <v>3278962.5390000008</v>
      </c>
    </row>
    <row r="9" spans="1:7">
      <c r="A9" s="16" t="s">
        <v>32</v>
      </c>
      <c r="B9" s="10">
        <v>2454054.1189999986</v>
      </c>
    </row>
    <row r="10" spans="1:7">
      <c r="A10" s="16" t="s">
        <v>284</v>
      </c>
      <c r="B10" s="10">
        <v>79590208.540000021</v>
      </c>
    </row>
    <row r="15" spans="1:7">
      <c r="A15" s="15" t="s">
        <v>285</v>
      </c>
      <c r="B15" s="15" t="s">
        <v>287</v>
      </c>
    </row>
    <row r="16" spans="1:7">
      <c r="A16" s="15" t="s">
        <v>283</v>
      </c>
      <c r="B16" t="s">
        <v>46</v>
      </c>
      <c r="C16" t="s">
        <v>54</v>
      </c>
      <c r="D16" t="s">
        <v>52</v>
      </c>
      <c r="E16" t="s">
        <v>50</v>
      </c>
      <c r="F16" t="s">
        <v>48</v>
      </c>
      <c r="G16" t="s">
        <v>284</v>
      </c>
    </row>
    <row r="17" spans="1:8">
      <c r="A17" s="16" t="s">
        <v>42</v>
      </c>
      <c r="B17" s="10">
        <v>1774028.639</v>
      </c>
      <c r="C17" s="10">
        <v>1677267.115</v>
      </c>
      <c r="D17" s="10">
        <v>1213890.6429999999</v>
      </c>
      <c r="E17" s="10">
        <v>1187733.7769999998</v>
      </c>
      <c r="F17" s="10">
        <v>1721599.2439999999</v>
      </c>
      <c r="G17" s="10">
        <v>7574519.4179999996</v>
      </c>
    </row>
    <row r="18" spans="1:8">
      <c r="A18" s="16" t="s">
        <v>32</v>
      </c>
      <c r="B18" s="10">
        <v>555403.72</v>
      </c>
      <c r="C18" s="10">
        <v>628495.44100000011</v>
      </c>
      <c r="D18" s="10">
        <v>419478.07100000005</v>
      </c>
      <c r="E18" s="10">
        <v>507515.03899999999</v>
      </c>
      <c r="F18" s="10">
        <v>343161.848</v>
      </c>
      <c r="G18" s="10">
        <v>2454054.1189999999</v>
      </c>
    </row>
    <row r="19" spans="1:8">
      <c r="A19" s="16" t="s">
        <v>38</v>
      </c>
      <c r="B19" s="10">
        <v>4104242.8800000004</v>
      </c>
      <c r="C19" s="10">
        <v>4831071.8560000006</v>
      </c>
      <c r="D19" s="10">
        <v>5409257.4900000002</v>
      </c>
      <c r="E19" s="10">
        <v>5483754.3459999999</v>
      </c>
      <c r="F19" s="10">
        <v>3143739.3280000007</v>
      </c>
      <c r="G19" s="10">
        <v>22972065.900000002</v>
      </c>
    </row>
    <row r="20" spans="1:8">
      <c r="A20" s="16" t="s">
        <v>34</v>
      </c>
      <c r="B20" s="10">
        <v>1512444.2940000002</v>
      </c>
      <c r="C20" s="10">
        <v>2071210.6510000003</v>
      </c>
      <c r="D20" s="10">
        <v>2435208.162</v>
      </c>
      <c r="E20" s="10">
        <v>1482025.0989999999</v>
      </c>
      <c r="F20" s="10">
        <v>868022.96399999992</v>
      </c>
      <c r="G20" s="10">
        <v>8368911.1699999999</v>
      </c>
    </row>
    <row r="21" spans="1:8">
      <c r="A21" s="16" t="s">
        <v>40</v>
      </c>
      <c r="B21" s="10">
        <v>636142.17700000003</v>
      </c>
      <c r="C21" s="10">
        <v>777595.34300000011</v>
      </c>
      <c r="D21" s="10">
        <v>772065.21300000011</v>
      </c>
      <c r="E21" s="10">
        <v>678657.24100000004</v>
      </c>
      <c r="F21" s="10">
        <v>414502.56500000006</v>
      </c>
      <c r="G21" s="10">
        <v>3278962.5389999999</v>
      </c>
    </row>
    <row r="22" spans="1:8">
      <c r="A22" s="16" t="s">
        <v>36</v>
      </c>
      <c r="B22" s="10">
        <v>7231056.5290000001</v>
      </c>
      <c r="C22" s="10">
        <v>7753969.0759999994</v>
      </c>
      <c r="D22" s="10">
        <v>4047738.338</v>
      </c>
      <c r="E22" s="10">
        <v>9060742.5869999994</v>
      </c>
      <c r="F22" s="10">
        <v>6848188.8640000001</v>
      </c>
      <c r="G22" s="10">
        <v>34941695.394000001</v>
      </c>
    </row>
    <row r="23" spans="1:8">
      <c r="A23" s="16" t="s">
        <v>284</v>
      </c>
      <c r="B23" s="10">
        <v>15813318.239</v>
      </c>
      <c r="C23" s="10">
        <v>17739609.482000001</v>
      </c>
      <c r="D23" s="10">
        <v>14297637.916999999</v>
      </c>
      <c r="E23" s="10">
        <v>18400428.089000002</v>
      </c>
      <c r="F23" s="10">
        <v>13339214.813000001</v>
      </c>
      <c r="G23" s="10">
        <v>79590208.539999992</v>
      </c>
    </row>
    <row r="25" spans="1:8">
      <c r="A25" s="15" t="s">
        <v>266</v>
      </c>
      <c r="B25" t="s">
        <v>36</v>
      </c>
    </row>
    <row r="27" spans="1:8">
      <c r="A27" s="15" t="s">
        <v>283</v>
      </c>
      <c r="B27" s="18" t="s">
        <v>289</v>
      </c>
      <c r="C27" t="s">
        <v>288</v>
      </c>
      <c r="D27" t="s">
        <v>290</v>
      </c>
      <c r="E27" t="s">
        <v>292</v>
      </c>
      <c r="F27" t="s">
        <v>293</v>
      </c>
      <c r="G27" t="s">
        <v>294</v>
      </c>
      <c r="H27" t="s">
        <v>295</v>
      </c>
    </row>
    <row r="28" spans="1:8">
      <c r="A28" s="16" t="s">
        <v>46</v>
      </c>
      <c r="B28" s="19">
        <v>9.9658848561400892E-2</v>
      </c>
      <c r="C28" s="9">
        <v>7730.2104838130153</v>
      </c>
      <c r="D28" s="9">
        <v>6.6505263157894721</v>
      </c>
      <c r="E28" s="14">
        <f>GETPIVOTDATA("Average of Yield per Acre (kg)",$A$27,"District Name","Ejura")/C50</f>
        <v>1.003277950980354</v>
      </c>
      <c r="F28" s="14">
        <f>GETPIVOTDATA("Average of Selling Price/kg (GHS)",$A$27,"District Name","Ejura")/GETPIVOTDATA("Average of Selling Price/kg (GHS)",$A$27)</f>
        <v>1.0046288720695138</v>
      </c>
      <c r="G28" s="10">
        <f>SUMIFS(Farm_Records_Cleaned!$O$2:$O$501,Farm_Records_Cleaned!$D$2:$D$501,"C03",Farm_Records_Cleaned!$R$2:$R$501,"Ejura")/SUMIFS(Farm_Records_Cleaned!$E$2:$E$501,Farm_Records_Cleaned!$D$2:$D$501,"C03",Farm_Records_Cleaned!$R$2:$R$501,"Ejura")</f>
        <v>43325.683217495505</v>
      </c>
      <c r="H28" s="14">
        <f>G28/$D$49</f>
        <v>0.95673941386255612</v>
      </c>
    </row>
    <row r="29" spans="1:8">
      <c r="A29" s="16" t="s">
        <v>54</v>
      </c>
      <c r="B29" s="19">
        <v>8.5025812744180224E-2</v>
      </c>
      <c r="C29" s="9">
        <v>7942.7724387575608</v>
      </c>
      <c r="D29" s="9">
        <v>6.8862499999999995</v>
      </c>
      <c r="E29" s="14">
        <f>GETPIVOTDATA("Average of Yield per Acre (kg)",$A$27,"District Name","Hohoe")/C50</f>
        <v>1.0308656503139884</v>
      </c>
      <c r="F29" s="14">
        <f>GETPIVOTDATA("Average of Selling Price/kg (GHS)",$A$27,"District Name","Hohoe")/GETPIVOTDATA("Average of Selling Price/kg (GHS)",$A$27)</f>
        <v>1.0402373048075746</v>
      </c>
      <c r="G29" s="10">
        <f>SUMIFS(Farm_Records_Cleaned!$O$2:$O$501,Farm_Records_Cleaned!$D$2:$D$501,"C03",Farm_Records_Cleaned!$R$2:$R$501,"Hohoe")/SUMIFS(Farm_Records_Cleaned!$E$2:$E$501,Farm_Records_Cleaned!$D$2:$D$501,"C03",Farm_Records_Cleaned!$R$2:$R$501,"Hohoe")</f>
        <v>49200.31139593909</v>
      </c>
      <c r="H29" s="14">
        <f t="shared" ref="H29:H32" si="0">G29/$D$49</f>
        <v>1.0864658925401027</v>
      </c>
    </row>
    <row r="30" spans="1:8">
      <c r="A30" s="16" t="s">
        <v>52</v>
      </c>
      <c r="B30" s="19">
        <v>0.10149992357248414</v>
      </c>
      <c r="C30" s="9">
        <v>8025.8024907518893</v>
      </c>
      <c r="D30" s="9">
        <v>6.6620000000000008</v>
      </c>
      <c r="E30" s="14">
        <f>GETPIVOTDATA("Average of Yield per Acre (kg)",$A$27,"District Name","Kintampo")/C50</f>
        <v>1.0416418407694872</v>
      </c>
      <c r="F30" s="14">
        <f>GETPIVOTDATA("Average of Selling Price/kg (GHS)",$A$27,"District Name","Kintampo")/GETPIVOTDATA("Average of Selling Price/kg (GHS)",$A$27)</f>
        <v>1.0063620874391814</v>
      </c>
      <c r="G30" s="10">
        <f>SUMIFS(Farm_Records_Cleaned!$O$2:$O$501,Farm_Records_Cleaned!$D$2:$D$501,"C03",Farm_Records_Cleaned!$R$2:$R$501,"Kintampo")/SUMIFS(Farm_Records_Cleaned!$E$2:$E$501,Farm_Records_Cleaned!$D$2:$D$501,"C03",Farm_Records_Cleaned!$R$2:$R$501,"Kintampo")</f>
        <v>48130.063472057067</v>
      </c>
      <c r="H30" s="14">
        <f t="shared" si="0"/>
        <v>1.0628321424099023</v>
      </c>
    </row>
    <row r="31" spans="1:8">
      <c r="A31" s="16" t="s">
        <v>50</v>
      </c>
      <c r="B31" s="19">
        <v>9.4726711646474726E-2</v>
      </c>
      <c r="C31" s="9">
        <v>7793.0589044527496</v>
      </c>
      <c r="D31" s="9">
        <v>6.5345454545454542</v>
      </c>
      <c r="E31" s="14">
        <f>GETPIVOTDATA("Average of Yield per Acre (kg)",$A$27,"District Name","Tamale Metro")/C50</f>
        <v>1.0114348355585707</v>
      </c>
      <c r="F31" s="14">
        <f>GETPIVOTDATA("Average of Selling Price/kg (GHS)",$A$27,"District Name","Tamale Metro")/GETPIVOTDATA("Average of Selling Price/kg (GHS)",$A$27)</f>
        <v>0.98710879677312779</v>
      </c>
      <c r="G31" s="10">
        <f>SUMIFS(Farm_Records_Cleaned!$O$2:$O$501,Farm_Records_Cleaned!$D$2:$D$501,"C03",Farm_Records_Cleaned!$R$2:$R$501,"Tamale Metro")/SUMIFS(Farm_Records_Cleaned!$E$2:$E$501,Farm_Records_Cleaned!$D$2:$D$501,"C03",Farm_Records_Cleaned!$R$2:$R$501,"Tamale Metro")</f>
        <v>46704.858695876283</v>
      </c>
      <c r="H31" s="14">
        <f t="shared" si="0"/>
        <v>1.0313600574723774</v>
      </c>
    </row>
    <row r="32" spans="1:8">
      <c r="A32" s="16" t="s">
        <v>48</v>
      </c>
      <c r="B32" s="19">
        <v>8.7132322784074207E-2</v>
      </c>
      <c r="C32" s="9">
        <v>7208.5456259510183</v>
      </c>
      <c r="D32" s="9">
        <v>6.4415789473684217</v>
      </c>
      <c r="E32" s="14">
        <f>GETPIVOTDATA("Average of Yield per Acre (kg)",$A$27,"District Name","Techiman")/C50</f>
        <v>0.93557282822979193</v>
      </c>
      <c r="F32" s="14">
        <f>GETPIVOTDATA("Average of Selling Price/kg (GHS)",$A$27,"District Name","Techiman")/GETPIVOTDATA("Average of Selling Price/kg (GHS)",$A$27)</f>
        <v>0.97306527107144536</v>
      </c>
      <c r="G32" s="10">
        <f>SUMIFS(Farm_Records_Cleaned!$O$2:$O$501,Farm_Records_Cleaned!$D$2:$D$501,"C03",Farm_Records_Cleaned!$R$2:$R$501,"Techiman")/SUMIFS(Farm_Records_Cleaned!$E$2:$E$501,Farm_Records_Cleaned!$D$2:$D$501,"C03",Farm_Records_Cleaned!$R$2:$R$501,"Techiman")</f>
        <v>40521.827597633135</v>
      </c>
      <c r="H32" s="14">
        <f t="shared" si="0"/>
        <v>0.89482327121719085</v>
      </c>
    </row>
    <row r="33" spans="1:8">
      <c r="A33" s="16" t="s">
        <v>284</v>
      </c>
      <c r="B33" s="9">
        <v>9.3121304086258072E-2</v>
      </c>
      <c r="C33" s="9">
        <v>7704.9540222222931</v>
      </c>
      <c r="D33" s="9">
        <v>6.619883720930229</v>
      </c>
      <c r="E33" s="14"/>
    </row>
    <row r="35" spans="1:8">
      <c r="A35" s="15" t="s">
        <v>266</v>
      </c>
      <c r="B35" t="s">
        <v>38</v>
      </c>
    </row>
    <row r="37" spans="1:8">
      <c r="A37" s="15" t="s">
        <v>283</v>
      </c>
      <c r="B37" t="s">
        <v>289</v>
      </c>
      <c r="C37" t="s">
        <v>288</v>
      </c>
      <c r="D37" t="s">
        <v>290</v>
      </c>
      <c r="E37" t="s">
        <v>292</v>
      </c>
      <c r="F37" t="s">
        <v>293</v>
      </c>
      <c r="G37" t="s">
        <v>294</v>
      </c>
      <c r="H37" t="s">
        <v>295</v>
      </c>
    </row>
    <row r="38" spans="1:8">
      <c r="A38" s="16" t="s">
        <v>46</v>
      </c>
      <c r="B38" s="18">
        <v>9.9628823880074754E-2</v>
      </c>
      <c r="C38" s="9">
        <v>4768.0051199756645</v>
      </c>
      <c r="D38" s="9">
        <v>8.9263636363636341</v>
      </c>
      <c r="E38" s="14">
        <f>GETPIVOTDATA("Average of Yield per Acre (kg)",$A$37,"District Name","Ejura")/C51</f>
        <v>0.94541567396413073</v>
      </c>
      <c r="F38" s="14">
        <f>GETPIVOTDATA("Average of Selling Price/kg (GHS)",$A$37,"District Name","Ejura")/GETPIVOTDATA("Average of Selling Price/kg (GHS)",$A$37)</f>
        <v>0.97808546667994822</v>
      </c>
      <c r="G38" s="10">
        <f>SUMIFS(Farm_Records_Cleaned!$O$2:$O$501,Farm_Records_Cleaned!$D$2:$D$501,"C04",Farm_Records_Cleaned!$R$2:$R$501,"Ejura")/SUMIFS(Farm_Records_Cleaned!$E$2:$E$501,Farm_Records_Cleaned!$D$2:$D$501,"C04",Farm_Records_Cleaned!$R$2:$R$501,"Ejura")</f>
        <v>39125.289609151572</v>
      </c>
      <c r="H38" s="14">
        <f>G38/$D$50</f>
        <v>0.94134100350887784</v>
      </c>
    </row>
    <row r="39" spans="1:8">
      <c r="A39" s="16" t="s">
        <v>54</v>
      </c>
      <c r="B39" s="18">
        <v>9.8471082732509013E-2</v>
      </c>
      <c r="C39" s="9">
        <v>5112.8539357609297</v>
      </c>
      <c r="D39" s="9">
        <v>9.176874999999999</v>
      </c>
      <c r="E39" s="14">
        <f>GETPIVOTDATA("Average of Yield per Acre (kg)",$A$37,"District Name","Hohoe")/C51</f>
        <v>1.0137934267952819</v>
      </c>
      <c r="F39" s="14">
        <f>GETPIVOTDATA("Average of Selling Price/kg (GHS)",$A$37,"District Name","Hohoe")/GETPIVOTDATA("Average of Selling Price/kg (GHS)",$A$37)</f>
        <v>1.0055346648072518</v>
      </c>
      <c r="G39" s="10">
        <f>SUMIFS(Farm_Records_Cleaned!$O$2:$O$501,Farm_Records_Cleaned!$D$2:$D$501,"C04",Farm_Records_Cleaned!$R$2:$R$501,"Hohoe")/SUMIFS(Farm_Records_Cleaned!$E$2:$E$501,Farm_Records_Cleaned!$D$2:$D$501,"C04",Farm_Records_Cleaned!$R$2:$R$501,"Hohoe")</f>
        <v>42303.606444833633</v>
      </c>
      <c r="H39" s="14">
        <f t="shared" ref="H39:H43" si="1">G39/$D$50</f>
        <v>1.0178102127967319</v>
      </c>
    </row>
    <row r="40" spans="1:8">
      <c r="A40" s="16" t="s">
        <v>52</v>
      </c>
      <c r="B40" s="18">
        <v>8.6355669314472625E-2</v>
      </c>
      <c r="C40" s="9">
        <v>4977.9410363366733</v>
      </c>
      <c r="D40" s="9">
        <v>8.977368421052633</v>
      </c>
      <c r="E40" s="14">
        <f>GETPIVOTDATA("Average of Yield per Acre (kg)",$A$37,"District Name","Kintampo")/C51</f>
        <v>0.98704245515700273</v>
      </c>
      <c r="F40" s="14">
        <f>GETPIVOTDATA("Average of Selling Price/kg (GHS)",$A$37,"District Name","Kintampo")/GETPIVOTDATA("Average of Selling Price/kg (GHS)",$A$37)</f>
        <v>0.98367419694769398</v>
      </c>
      <c r="G40" s="10">
        <f>SUMIFS(Farm_Records_Cleaned!$O$2:$O$501,Farm_Records_Cleaned!$D$2:$D$501,"C04",Farm_Records_Cleaned!$R$2:$R$501,"Kintampo")/SUMIFS(Farm_Records_Cleaned!$E$2:$E$501,Farm_Records_Cleaned!$D$2:$D$501,"C04",Farm_Records_Cleaned!$R$2:$R$501,"Kintampo")</f>
        <v>39570.281565471843</v>
      </c>
      <c r="H40" s="14">
        <f t="shared" si="1"/>
        <v>0.95204735683943376</v>
      </c>
    </row>
    <row r="41" spans="1:8">
      <c r="A41" s="16" t="s">
        <v>50</v>
      </c>
      <c r="B41" s="18">
        <v>9.0723157414212621E-2</v>
      </c>
      <c r="C41" s="9">
        <v>5192.7471926173557</v>
      </c>
      <c r="D41" s="9">
        <v>9.3147619047619052</v>
      </c>
      <c r="E41" s="14">
        <f>GETPIVOTDATA("Average of Yield per Acre (kg)",$A$37,"District Name","Tamale Metro")/C51</f>
        <v>1.0296349234748183</v>
      </c>
      <c r="F41" s="14">
        <f>GETPIVOTDATA("Average of Selling Price/kg (GHS)",$A$37)/GETPIVOTDATA("Average of Selling Price/kg (GHS)",$A$37)</f>
        <v>1</v>
      </c>
      <c r="G41" s="10">
        <f>SUMIFS(Farm_Records_Cleaned!$O$2:$O$501,Farm_Records_Cleaned!$D$2:$D$501,"C04",Farm_Records_Cleaned!$R$2:$R$501,"Tamale Metro")/SUMIFS(Farm_Records_Cleaned!$E$2:$E$501,Farm_Records_Cleaned!$D$2:$D$501,"C04",Farm_Records_Cleaned!$R$2:$R$501,"Tamale Metro")</f>
        <v>42908.875946791864</v>
      </c>
      <c r="H41" s="14">
        <f t="shared" si="1"/>
        <v>1.0323727887177907</v>
      </c>
    </row>
    <row r="42" spans="1:8">
      <c r="A42" s="16" t="s">
        <v>48</v>
      </c>
      <c r="B42" s="18">
        <v>7.8083209679354643E-2</v>
      </c>
      <c r="C42" s="9">
        <v>5045.1015997500745</v>
      </c>
      <c r="D42" s="9">
        <v>9.1530000000000005</v>
      </c>
      <c r="E42" s="14">
        <f>GETPIVOTDATA("Average of Yield per Acre (kg)",$A$37,"District Name","Techiman")/C51</f>
        <v>1.0003592716715823</v>
      </c>
      <c r="F42" s="14">
        <f>GETPIVOTDATA("Average of Selling Price/kg (GHS)",$A$37,"District Name","Techiman")/GETPIVOTDATA("Average of Selling Price/kg (GHS)",$A$37)</f>
        <v>1.0029186173921709</v>
      </c>
      <c r="G42" s="10">
        <f>SUMIFS(Farm_Records_Cleaned!$O$2:$O$501,Farm_Records_Cleaned!$D$2:$D$501,"C04",Farm_Records_Cleaned!$R$2:$R$501,"Techiman")/SUMIFS(Farm_Records_Cleaned!$E$2:$E$501,Farm_Records_Cleaned!$D$2:$D$501,"C04",Farm_Records_Cleaned!$R$2:$R$501,"Techiman")</f>
        <v>45495.504023154856</v>
      </c>
      <c r="H42" s="14">
        <f t="shared" si="1"/>
        <v>1.0946061700788385</v>
      </c>
    </row>
    <row r="43" spans="1:8">
      <c r="A43" s="16" t="s">
        <v>284</v>
      </c>
      <c r="B43" s="9">
        <v>9.0886110465817668E-2</v>
      </c>
      <c r="C43" s="9">
        <v>5043.2896886333638</v>
      </c>
      <c r="D43" s="9">
        <v>9.1263636363636333</v>
      </c>
    </row>
    <row r="47" spans="1:8" ht="15">
      <c r="C47" s="17" t="s">
        <v>291</v>
      </c>
      <c r="D47">
        <f>AVERAGEIFS(Farm_Records_Cleaned!$J$2:$J$501,Farm_Records_Cleaned!$D$2:$D$501,"C03")</f>
        <v>6.6198837209302317</v>
      </c>
    </row>
    <row r="48" spans="1:8">
      <c r="B48" t="s">
        <v>32</v>
      </c>
      <c r="C48">
        <f>AVERAGEIFS(Table1[Yield per Acre (kg)],Table1[Crop ID], "C01")</f>
        <v>1709.9778326640539</v>
      </c>
    </row>
    <row r="49" spans="2:4">
      <c r="B49" t="s">
        <v>34</v>
      </c>
      <c r="C49">
        <f>AVERAGEIFS(Table1[Yield per Acre (kg)],Table1[Crop ID], "C02")</f>
        <v>2277.8016662800201</v>
      </c>
      <c r="D49" s="10">
        <f>SUMIFS(Farm_Records_Cleaned!$O$2:$O$501,Farm_Records_Cleaned!$D$2:$D$501,"C03")/SUMIFS(Farm_Records_Cleaned!$E$2:$E$501,Farm_Records_Cleaned!$D$2:$D$501,"C03")</f>
        <v>45284.727052877133</v>
      </c>
    </row>
    <row r="50" spans="2:4">
      <c r="B50" t="s">
        <v>36</v>
      </c>
      <c r="C50">
        <f>AVERAGEIFS(Table1[Yield per Acre (kg)],Table1[Crop ID], "C03")</f>
        <v>7704.9540222222895</v>
      </c>
      <c r="D50" s="10">
        <f>SUMIFS(Farm_Records_Cleaned!$O$2:$O$501,Farm_Records_Cleaned!$D$2:$D$501,"C04")/SUMIFS(Farm_Records_Cleaned!$E$2:$E$501,Farm_Records_Cleaned!$D$2:$D$501,"C04")</f>
        <v>41563.354260901033</v>
      </c>
    </row>
    <row r="51" spans="2:4">
      <c r="B51" t="s">
        <v>38</v>
      </c>
      <c r="C51">
        <f>AVERAGEIFS(Table1[Yield per Acre (kg)],Table1[Crop ID], "C04")</f>
        <v>5043.2896886333656</v>
      </c>
    </row>
    <row r="52" spans="2:4">
      <c r="B52" t="s">
        <v>40</v>
      </c>
      <c r="C52">
        <f>AVERAGEIFS(Table1[Yield per Acre (kg)],Table1[Crop ID], "C05")</f>
        <v>1508.6005053527047</v>
      </c>
    </row>
    <row r="53" spans="2:4">
      <c r="B53" t="s">
        <v>42</v>
      </c>
      <c r="C53">
        <f>AVERAGEIFS(Table1[Yield per Acre (kg)],Table1[Crop ID], "C06")</f>
        <v>6097.668699460849</v>
      </c>
    </row>
  </sheetData>
  <conditionalFormatting sqref="A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7:G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D680-61AE-40C3-B810-9EEE75341493}">
  <dimension ref="A1:V501"/>
  <sheetViews>
    <sheetView topLeftCell="A2" workbookViewId="0">
      <selection activeCell="B6" sqref="B6"/>
    </sheetView>
  </sheetViews>
  <sheetFormatPr defaultRowHeight="14.25"/>
  <cols>
    <col min="1" max="1" width="14.125" customWidth="1"/>
    <col min="2" max="2" width="17" customWidth="1"/>
    <col min="3" max="3" width="14" customWidth="1"/>
    <col min="4" max="4" width="12" customWidth="1"/>
    <col min="5" max="5" width="21.75" customWidth="1"/>
    <col min="6" max="6" width="27" customWidth="1"/>
    <col min="7" max="7" width="29" customWidth="1"/>
    <col min="8" max="8" width="23.375" customWidth="1"/>
    <col min="9" max="9" width="21" customWidth="1"/>
    <col min="10" max="10" width="28" customWidth="1"/>
    <col min="11" max="11" width="21.875" customWidth="1"/>
    <col min="12" max="12" width="8.875" bestFit="1" customWidth="1"/>
    <col min="14" max="14" width="12.375" style="10" bestFit="1" customWidth="1"/>
    <col min="15" max="15" width="13.75" style="10" bestFit="1" customWidth="1"/>
    <col min="18" max="18" width="12" bestFit="1" customWidth="1"/>
    <col min="20" max="20" width="22.625" bestFit="1" customWidth="1"/>
    <col min="21" max="21" width="13.5" bestFit="1" customWidth="1"/>
    <col min="22" max="22" width="12.375" bestFit="1" customWidth="1"/>
  </cols>
  <sheetData>
    <row r="1" spans="1:21" ht="72">
      <c r="A1" s="3" t="s">
        <v>55</v>
      </c>
      <c r="B1" s="3" t="s">
        <v>56</v>
      </c>
      <c r="C1" s="3" t="s">
        <v>43</v>
      </c>
      <c r="D1" s="3" t="s">
        <v>29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7" t="s">
        <v>261</v>
      </c>
      <c r="M1" s="7" t="s">
        <v>262</v>
      </c>
      <c r="N1" s="11" t="s">
        <v>263</v>
      </c>
      <c r="O1" s="11" t="s">
        <v>264</v>
      </c>
      <c r="P1" s="7" t="s">
        <v>265</v>
      </c>
      <c r="Q1" s="7" t="s">
        <v>266</v>
      </c>
      <c r="R1" s="7" t="s">
        <v>267</v>
      </c>
    </row>
    <row r="2" spans="1:21">
      <c r="A2" t="s">
        <v>64</v>
      </c>
      <c r="B2" s="4">
        <v>45853</v>
      </c>
      <c r="C2" t="s">
        <v>49</v>
      </c>
      <c r="D2" t="s">
        <v>31</v>
      </c>
      <c r="E2">
        <v>10.5</v>
      </c>
      <c r="F2">
        <v>21319.7</v>
      </c>
      <c r="G2">
        <v>2059.4</v>
      </c>
      <c r="H2">
        <v>19260.3</v>
      </c>
      <c r="I2" t="s">
        <v>65</v>
      </c>
      <c r="J2">
        <v>3.44</v>
      </c>
      <c r="K2">
        <v>15514.19</v>
      </c>
      <c r="L2">
        <f t="shared" ref="L2:L65" si="0">F2/E2</f>
        <v>2030.4476190476191</v>
      </c>
      <c r="M2" s="8">
        <f t="shared" ref="M2:M65" si="1">G2/F2</f>
        <v>9.6596105948958011E-2</v>
      </c>
      <c r="N2" s="10">
        <f t="shared" ref="N2:N65" si="2">H2*J2</f>
        <v>66255.432000000001</v>
      </c>
      <c r="O2" s="10">
        <f t="shared" ref="O2:O65" si="3">N2-K2</f>
        <v>50741.241999999998</v>
      </c>
      <c r="P2" s="9" t="str">
        <f t="shared" ref="P2:P65" si="4">IF(H2+G2&gt;F2,"CHECK: Sold+Loss &gt; Harvest","OK")</f>
        <v>OK</v>
      </c>
      <c r="Q2" t="str">
        <f>INDEX(Crops!$B$2:$B$7,MATCH(D2,Crops!$A$2:$A$7,0))</f>
        <v>Maize</v>
      </c>
      <c r="R2" t="str">
        <f>INDEX(Districts!$B$2:$B$6,MATCH(C2,Districts!$A$2:$A$6,0))</f>
        <v>Tamale Metro</v>
      </c>
      <c r="T2" t="s">
        <v>269</v>
      </c>
      <c r="U2">
        <f>COUNTIFS($D$2:$D$501,"C02")</f>
        <v>101</v>
      </c>
    </row>
    <row r="3" spans="1:21">
      <c r="A3" t="s">
        <v>66</v>
      </c>
      <c r="B3" s="4">
        <v>45856</v>
      </c>
      <c r="C3" t="s">
        <v>53</v>
      </c>
      <c r="D3" t="s">
        <v>35</v>
      </c>
      <c r="E3">
        <v>8.9</v>
      </c>
      <c r="F3">
        <v>85227.8</v>
      </c>
      <c r="G3">
        <v>6234.1</v>
      </c>
      <c r="H3">
        <v>78993.7</v>
      </c>
      <c r="I3" t="s">
        <v>67</v>
      </c>
      <c r="J3">
        <v>7.38</v>
      </c>
      <c r="K3">
        <v>9897.9</v>
      </c>
      <c r="L3">
        <f t="shared" si="0"/>
        <v>9576.1573033707864</v>
      </c>
      <c r="M3" s="8">
        <f t="shared" si="1"/>
        <v>7.3146320801428646E-2</v>
      </c>
      <c r="N3" s="10">
        <f t="shared" si="2"/>
        <v>582973.50599999994</v>
      </c>
      <c r="O3" s="10">
        <f t="shared" si="3"/>
        <v>573075.60599999991</v>
      </c>
      <c r="P3" s="9" t="str">
        <f t="shared" si="4"/>
        <v>OK</v>
      </c>
      <c r="Q3" s="9" t="str">
        <f>INDEX(Crops!$B$2:$B$7,MATCH(D3,Crops!$A$2:$A$7,0))</f>
        <v>Tomato</v>
      </c>
      <c r="R3" s="9" t="str">
        <f>INDEX(Districts!$B$2:$B$6,MATCH(C3,Districts!$A$2:$A$6,0))</f>
        <v>Hohoe</v>
      </c>
      <c r="T3" t="s">
        <v>270</v>
      </c>
      <c r="U3">
        <f>COUNTIFS($D$2:$D$501,"C03")</f>
        <v>86</v>
      </c>
    </row>
    <row r="4" spans="1:21">
      <c r="A4" t="s">
        <v>68</v>
      </c>
      <c r="B4" s="4">
        <v>45869</v>
      </c>
      <c r="C4" t="s">
        <v>51</v>
      </c>
      <c r="D4" t="s">
        <v>33</v>
      </c>
      <c r="E4">
        <v>14.6</v>
      </c>
      <c r="F4">
        <v>23614.400000000001</v>
      </c>
      <c r="G4">
        <v>1146.9000000000001</v>
      </c>
      <c r="H4">
        <v>22467.5</v>
      </c>
      <c r="I4" t="s">
        <v>67</v>
      </c>
      <c r="J4">
        <v>5.0199999999999996</v>
      </c>
      <c r="K4">
        <v>13966.62</v>
      </c>
      <c r="L4">
        <f t="shared" si="0"/>
        <v>1617.4246575342468</v>
      </c>
      <c r="M4" s="8">
        <f t="shared" si="1"/>
        <v>4.8567823023240059E-2</v>
      </c>
      <c r="N4" s="10">
        <f t="shared" si="2"/>
        <v>112786.84999999999</v>
      </c>
      <c r="O4" s="10">
        <f t="shared" si="3"/>
        <v>98820.23</v>
      </c>
      <c r="P4" s="9" t="str">
        <f t="shared" si="4"/>
        <v>OK</v>
      </c>
      <c r="Q4" s="9" t="str">
        <f>INDEX(Crops!$B$2:$B$7,MATCH(D4,Crops!$A$2:$A$7,0))</f>
        <v>Rice</v>
      </c>
      <c r="R4" s="9" t="str">
        <f>INDEX(Districts!$B$2:$B$6,MATCH(C4,Districts!$A$2:$A$6,0))</f>
        <v>Kintampo</v>
      </c>
      <c r="T4" t="s">
        <v>273</v>
      </c>
      <c r="U4">
        <f>COUNTIFS($D$2:$D$501,"C06")</f>
        <v>82</v>
      </c>
    </row>
    <row r="5" spans="1:21">
      <c r="A5" t="s">
        <v>69</v>
      </c>
      <c r="B5" s="4">
        <v>45874</v>
      </c>
      <c r="C5" t="s">
        <v>49</v>
      </c>
      <c r="D5" t="s">
        <v>37</v>
      </c>
      <c r="E5">
        <v>5.3</v>
      </c>
      <c r="F5">
        <v>23649.200000000001</v>
      </c>
      <c r="G5">
        <v>561.9</v>
      </c>
      <c r="H5">
        <v>23087.3</v>
      </c>
      <c r="I5" t="s">
        <v>70</v>
      </c>
      <c r="J5">
        <v>10.29</v>
      </c>
      <c r="K5">
        <v>6689.27</v>
      </c>
      <c r="L5">
        <f t="shared" si="0"/>
        <v>4462.1132075471705</v>
      </c>
      <c r="M5" s="8">
        <f t="shared" si="1"/>
        <v>2.375978891463559E-2</v>
      </c>
      <c r="N5" s="10">
        <f t="shared" si="2"/>
        <v>237568.31699999998</v>
      </c>
      <c r="O5" s="10">
        <f t="shared" si="3"/>
        <v>230879.04699999999</v>
      </c>
      <c r="P5" s="9" t="str">
        <f t="shared" si="4"/>
        <v>OK</v>
      </c>
      <c r="Q5" s="9" t="str">
        <f>INDEX(Crops!$B$2:$B$7,MATCH(D5,Crops!$A$2:$A$7,0))</f>
        <v>Pepper</v>
      </c>
      <c r="R5" s="9" t="str">
        <f>INDEX(Districts!$B$2:$B$6,MATCH(C5,Districts!$A$2:$A$6,0))</f>
        <v>Tamale Metro</v>
      </c>
      <c r="T5" t="s">
        <v>272</v>
      </c>
      <c r="U5">
        <f>COUNTIFS($D$2:$D$501,"C05")</f>
        <v>78</v>
      </c>
    </row>
    <row r="6" spans="1:21">
      <c r="A6" t="s">
        <v>71</v>
      </c>
      <c r="B6" s="4">
        <v>45967</v>
      </c>
      <c r="C6" t="s">
        <v>53</v>
      </c>
      <c r="D6" t="s">
        <v>35</v>
      </c>
      <c r="E6">
        <v>6.5</v>
      </c>
      <c r="F6">
        <v>35848.5</v>
      </c>
      <c r="G6">
        <v>2534</v>
      </c>
      <c r="H6">
        <v>33314.5</v>
      </c>
      <c r="I6" t="s">
        <v>67</v>
      </c>
      <c r="J6">
        <v>6.85</v>
      </c>
      <c r="K6">
        <v>9552.4</v>
      </c>
      <c r="L6">
        <f t="shared" si="0"/>
        <v>5515.1538461538457</v>
      </c>
      <c r="M6" s="8">
        <f t="shared" si="1"/>
        <v>7.0686360656652306E-2</v>
      </c>
      <c r="N6" s="10">
        <f t="shared" si="2"/>
        <v>228204.32499999998</v>
      </c>
      <c r="O6" s="10">
        <f t="shared" si="3"/>
        <v>218651.92499999999</v>
      </c>
      <c r="P6" s="9" t="str">
        <f t="shared" si="4"/>
        <v>OK</v>
      </c>
      <c r="Q6" s="9" t="str">
        <f>INDEX(Crops!$B$2:$B$7,MATCH(D6,Crops!$A$2:$A$7,0))</f>
        <v>Tomato</v>
      </c>
      <c r="R6" s="9" t="str">
        <f>INDEX(Districts!$B$2:$B$6,MATCH(C6,Districts!$A$2:$A$6,0))</f>
        <v>Hohoe</v>
      </c>
      <c r="T6" t="s">
        <v>271</v>
      </c>
      <c r="U6">
        <f>COUNTIFS($D$2:$D$501,"C04")</f>
        <v>77</v>
      </c>
    </row>
    <row r="7" spans="1:21">
      <c r="A7" t="s">
        <v>72</v>
      </c>
      <c r="B7" s="4">
        <v>45902</v>
      </c>
      <c r="C7" t="s">
        <v>45</v>
      </c>
      <c r="D7" t="s">
        <v>41</v>
      </c>
      <c r="E7">
        <v>10.7</v>
      </c>
      <c r="F7">
        <v>65606.600000000006</v>
      </c>
      <c r="G7">
        <v>5542.3</v>
      </c>
      <c r="H7">
        <v>60064.3</v>
      </c>
      <c r="I7" t="s">
        <v>67</v>
      </c>
      <c r="J7">
        <v>2.16</v>
      </c>
      <c r="K7">
        <v>14864.02</v>
      </c>
      <c r="L7">
        <f t="shared" si="0"/>
        <v>6131.4579439252348</v>
      </c>
      <c r="M7" s="8">
        <f t="shared" si="1"/>
        <v>8.4477781198842791E-2</v>
      </c>
      <c r="N7" s="10">
        <f t="shared" si="2"/>
        <v>129738.88800000002</v>
      </c>
      <c r="O7" s="10">
        <f t="shared" si="3"/>
        <v>114874.86800000002</v>
      </c>
      <c r="P7" s="9" t="str">
        <f t="shared" si="4"/>
        <v>OK</v>
      </c>
      <c r="Q7" s="9" t="str">
        <f>INDEX(Crops!$B$2:$B$7,MATCH(D7,Crops!$A$2:$A$7,0))</f>
        <v>Cassava</v>
      </c>
      <c r="R7" s="9" t="str">
        <f>INDEX(Districts!$B$2:$B$6,MATCH(C7,Districts!$A$2:$A$6,0))</f>
        <v>Ejura</v>
      </c>
      <c r="T7" t="s">
        <v>268</v>
      </c>
      <c r="U7">
        <f>COUNTIFS($D$2:$D$501,"C01")</f>
        <v>76</v>
      </c>
    </row>
    <row r="8" spans="1:21">
      <c r="A8" t="s">
        <v>73</v>
      </c>
      <c r="B8" s="4">
        <v>46046</v>
      </c>
      <c r="C8" t="s">
        <v>49</v>
      </c>
      <c r="D8" t="s">
        <v>35</v>
      </c>
      <c r="E8">
        <v>2.6</v>
      </c>
      <c r="F8">
        <v>19136.5</v>
      </c>
      <c r="G8">
        <v>2597.1999999999998</v>
      </c>
      <c r="H8">
        <v>16539.3</v>
      </c>
      <c r="I8" t="s">
        <v>70</v>
      </c>
      <c r="J8">
        <v>7.45</v>
      </c>
      <c r="K8">
        <v>2771.29</v>
      </c>
      <c r="L8">
        <f t="shared" si="0"/>
        <v>7360.1923076923076</v>
      </c>
      <c r="M8" s="8">
        <f t="shared" si="1"/>
        <v>0.13571969795939695</v>
      </c>
      <c r="N8" s="10">
        <f t="shared" si="2"/>
        <v>123217.785</v>
      </c>
      <c r="O8" s="10">
        <f t="shared" si="3"/>
        <v>120446.49500000001</v>
      </c>
      <c r="P8" s="9" t="str">
        <f t="shared" si="4"/>
        <v>OK</v>
      </c>
      <c r="Q8" s="9" t="str">
        <f>INDEX(Crops!$B$2:$B$7,MATCH(D8,Crops!$A$2:$A$7,0))</f>
        <v>Tomato</v>
      </c>
      <c r="R8" s="9" t="str">
        <f>INDEX(Districts!$B$2:$B$6,MATCH(C8,Districts!$A$2:$A$6,0))</f>
        <v>Tamale Metro</v>
      </c>
    </row>
    <row r="9" spans="1:21">
      <c r="A9" t="s">
        <v>74</v>
      </c>
      <c r="B9" s="4">
        <v>45911</v>
      </c>
      <c r="C9" t="s">
        <v>53</v>
      </c>
      <c r="D9" t="s">
        <v>33</v>
      </c>
      <c r="E9">
        <v>14.3</v>
      </c>
      <c r="F9">
        <v>38915.4</v>
      </c>
      <c r="G9">
        <v>3453.4</v>
      </c>
      <c r="H9">
        <v>35462</v>
      </c>
      <c r="I9" t="s">
        <v>65</v>
      </c>
      <c r="J9">
        <v>5.31</v>
      </c>
      <c r="K9">
        <v>11122.26</v>
      </c>
      <c r="L9">
        <f t="shared" si="0"/>
        <v>2721.3566433566434</v>
      </c>
      <c r="M9" s="8">
        <f t="shared" si="1"/>
        <v>8.874121812958366E-2</v>
      </c>
      <c r="N9" s="10">
        <f t="shared" si="2"/>
        <v>188303.21999999997</v>
      </c>
      <c r="O9" s="10">
        <f t="shared" si="3"/>
        <v>177180.95999999996</v>
      </c>
      <c r="P9" s="9" t="str">
        <f t="shared" si="4"/>
        <v>OK</v>
      </c>
      <c r="Q9" s="9" t="str">
        <f>INDEX(Crops!$B$2:$B$7,MATCH(D9,Crops!$A$2:$A$7,0))</f>
        <v>Rice</v>
      </c>
      <c r="R9" s="9" t="str">
        <f>INDEX(Districts!$B$2:$B$6,MATCH(C9,Districts!$A$2:$A$6,0))</f>
        <v>Hohoe</v>
      </c>
    </row>
    <row r="10" spans="1:21">
      <c r="A10" t="s">
        <v>75</v>
      </c>
      <c r="B10" s="4">
        <v>46048</v>
      </c>
      <c r="C10" t="s">
        <v>47</v>
      </c>
      <c r="D10" t="s">
        <v>37</v>
      </c>
      <c r="E10">
        <v>1.9</v>
      </c>
      <c r="F10">
        <v>8780.2999999999993</v>
      </c>
      <c r="G10">
        <v>511.5</v>
      </c>
      <c r="H10">
        <v>8268.7999999999993</v>
      </c>
      <c r="I10" t="s">
        <v>70</v>
      </c>
      <c r="J10">
        <v>8.15</v>
      </c>
      <c r="K10">
        <v>2517.2399999999998</v>
      </c>
      <c r="L10">
        <f t="shared" si="0"/>
        <v>4621.2105263157891</v>
      </c>
      <c r="M10" s="8">
        <f t="shared" si="1"/>
        <v>5.8255412685215772E-2</v>
      </c>
      <c r="N10" s="10">
        <f t="shared" si="2"/>
        <v>67390.720000000001</v>
      </c>
      <c r="O10" s="10">
        <f t="shared" si="3"/>
        <v>64873.48</v>
      </c>
      <c r="P10" s="9" t="str">
        <f t="shared" si="4"/>
        <v>OK</v>
      </c>
      <c r="Q10" s="9" t="str">
        <f>INDEX(Crops!$B$2:$B$7,MATCH(D10,Crops!$A$2:$A$7,0))</f>
        <v>Pepper</v>
      </c>
      <c r="R10" s="9" t="str">
        <f>INDEX(Districts!$B$2:$B$6,MATCH(C10,Districts!$A$2:$A$6,0))</f>
        <v>Techiman</v>
      </c>
    </row>
    <row r="11" spans="1:21">
      <c r="A11" t="s">
        <v>76</v>
      </c>
      <c r="B11" s="4">
        <v>45920</v>
      </c>
      <c r="C11" t="s">
        <v>47</v>
      </c>
      <c r="D11" t="s">
        <v>37</v>
      </c>
      <c r="E11">
        <v>5.6</v>
      </c>
      <c r="F11">
        <v>30015.3</v>
      </c>
      <c r="G11">
        <v>2728.7</v>
      </c>
      <c r="H11">
        <v>27286.6</v>
      </c>
      <c r="I11" t="s">
        <v>77</v>
      </c>
      <c r="J11">
        <v>9.68</v>
      </c>
      <c r="K11">
        <v>4086.39</v>
      </c>
      <c r="L11">
        <f t="shared" si="0"/>
        <v>5359.875</v>
      </c>
      <c r="M11" s="8">
        <f t="shared" si="1"/>
        <v>9.091030241243632E-2</v>
      </c>
      <c r="N11" s="10">
        <f t="shared" si="2"/>
        <v>264134.288</v>
      </c>
      <c r="O11" s="10">
        <f t="shared" si="3"/>
        <v>260047.89799999999</v>
      </c>
      <c r="P11" s="9" t="str">
        <f t="shared" si="4"/>
        <v>OK</v>
      </c>
      <c r="Q11" s="9" t="str">
        <f>INDEX(Crops!$B$2:$B$7,MATCH(D11,Crops!$A$2:$A$7,0))</f>
        <v>Pepper</v>
      </c>
      <c r="R11" s="9" t="str">
        <f>INDEX(Districts!$B$2:$B$6,MATCH(C11,Districts!$A$2:$A$6,0))</f>
        <v>Techiman</v>
      </c>
      <c r="T11" t="s">
        <v>276</v>
      </c>
      <c r="U11" s="10">
        <f>SUMIFS($N$2:$N$501,$D$2:$D$501,"C03")</f>
        <v>35966209.403999977</v>
      </c>
    </row>
    <row r="12" spans="1:21">
      <c r="A12" t="s">
        <v>78</v>
      </c>
      <c r="B12" s="4">
        <v>46146</v>
      </c>
      <c r="C12" t="s">
        <v>45</v>
      </c>
      <c r="D12" t="s">
        <v>39</v>
      </c>
      <c r="E12">
        <v>3.3</v>
      </c>
      <c r="F12">
        <v>3500.2</v>
      </c>
      <c r="G12">
        <v>252.2</v>
      </c>
      <c r="H12">
        <v>3248</v>
      </c>
      <c r="I12" t="s">
        <v>77</v>
      </c>
      <c r="J12">
        <v>4.55</v>
      </c>
      <c r="K12">
        <v>5777.89</v>
      </c>
      <c r="L12">
        <f t="shared" si="0"/>
        <v>1060.6666666666667</v>
      </c>
      <c r="M12" s="8">
        <f t="shared" si="1"/>
        <v>7.2053025541397642E-2</v>
      </c>
      <c r="N12" s="10">
        <f t="shared" si="2"/>
        <v>14778.4</v>
      </c>
      <c r="O12" s="10">
        <f t="shared" si="3"/>
        <v>9000.5099999999984</v>
      </c>
      <c r="P12" s="9" t="str">
        <f t="shared" si="4"/>
        <v>OK</v>
      </c>
      <c r="Q12" s="9" t="str">
        <f>INDEX(Crops!$B$2:$B$7,MATCH(D12,Crops!$A$2:$A$7,0))</f>
        <v>Soybean</v>
      </c>
      <c r="R12" s="9" t="str">
        <f>INDEX(Districts!$B$2:$B$6,MATCH(C12,Districts!$A$2:$A$6,0))</f>
        <v>Ejura</v>
      </c>
      <c r="T12" t="s">
        <v>277</v>
      </c>
      <c r="U12" s="10">
        <f>SUMIFS($N$2:$N$501,$D$2:$D$501,"C04")</f>
        <v>23685224.24000001</v>
      </c>
    </row>
    <row r="13" spans="1:21">
      <c r="A13" t="s">
        <v>79</v>
      </c>
      <c r="B13" s="4">
        <v>45948</v>
      </c>
      <c r="C13" t="s">
        <v>53</v>
      </c>
      <c r="D13" t="s">
        <v>33</v>
      </c>
      <c r="E13">
        <v>7.2</v>
      </c>
      <c r="F13">
        <v>19481.8</v>
      </c>
      <c r="G13">
        <v>2064.3000000000002</v>
      </c>
      <c r="H13">
        <v>17417.5</v>
      </c>
      <c r="I13" t="s">
        <v>70</v>
      </c>
      <c r="J13">
        <v>6.95</v>
      </c>
      <c r="K13">
        <v>10411.07</v>
      </c>
      <c r="L13">
        <f t="shared" si="0"/>
        <v>2705.8055555555552</v>
      </c>
      <c r="M13" s="8">
        <f t="shared" si="1"/>
        <v>0.10596043486741473</v>
      </c>
      <c r="N13" s="10">
        <f t="shared" si="2"/>
        <v>121051.625</v>
      </c>
      <c r="O13" s="10">
        <f t="shared" si="3"/>
        <v>110640.55499999999</v>
      </c>
      <c r="P13" s="9" t="str">
        <f t="shared" si="4"/>
        <v>OK</v>
      </c>
      <c r="Q13" s="9" t="str">
        <f>INDEX(Crops!$B$2:$B$7,MATCH(D13,Crops!$A$2:$A$7,0))</f>
        <v>Rice</v>
      </c>
      <c r="R13" s="9" t="str">
        <f>INDEX(Districts!$B$2:$B$6,MATCH(C13,Districts!$A$2:$A$6,0))</f>
        <v>Hohoe</v>
      </c>
      <c r="T13" t="s">
        <v>275</v>
      </c>
      <c r="U13" s="10">
        <f>SUMIFS($N$2:$N$501,$D$2:$D$501,"C02")</f>
        <v>9296537.0100000016</v>
      </c>
    </row>
    <row r="14" spans="1:21">
      <c r="A14" t="s">
        <v>80</v>
      </c>
      <c r="B14" s="4">
        <v>45867</v>
      </c>
      <c r="C14" t="s">
        <v>49</v>
      </c>
      <c r="D14" t="s">
        <v>35</v>
      </c>
      <c r="E14">
        <v>10.7</v>
      </c>
      <c r="F14">
        <v>107180.5</v>
      </c>
      <c r="G14">
        <v>8191.9</v>
      </c>
      <c r="H14">
        <v>98988.6</v>
      </c>
      <c r="I14" t="s">
        <v>70</v>
      </c>
      <c r="J14">
        <v>7.72</v>
      </c>
      <c r="K14">
        <v>17232.07</v>
      </c>
      <c r="L14">
        <f t="shared" si="0"/>
        <v>10016.869158878506</v>
      </c>
      <c r="M14" s="8">
        <f t="shared" si="1"/>
        <v>7.6430880617276459E-2</v>
      </c>
      <c r="N14" s="10">
        <f t="shared" si="2"/>
        <v>764191.99199999997</v>
      </c>
      <c r="O14" s="10">
        <f t="shared" si="3"/>
        <v>746959.92200000002</v>
      </c>
      <c r="P14" s="9" t="str">
        <f t="shared" si="4"/>
        <v>OK</v>
      </c>
      <c r="Q14" s="9" t="str">
        <f>INDEX(Crops!$B$2:$B$7,MATCH(D14,Crops!$A$2:$A$7,0))</f>
        <v>Tomato</v>
      </c>
      <c r="R14" s="9" t="str">
        <f>INDEX(Districts!$B$2:$B$6,MATCH(C14,Districts!$A$2:$A$6,0))</f>
        <v>Tamale Metro</v>
      </c>
      <c r="T14" t="s">
        <v>279</v>
      </c>
      <c r="U14" s="10">
        <f>SUMIFS($N$2:$N$501,$D$2:$D$501,"C06")</f>
        <v>8291839.4180000024</v>
      </c>
    </row>
    <row r="15" spans="1:21">
      <c r="A15" t="s">
        <v>81</v>
      </c>
      <c r="B15" s="4">
        <v>46083</v>
      </c>
      <c r="C15" t="s">
        <v>47</v>
      </c>
      <c r="D15" t="s">
        <v>39</v>
      </c>
      <c r="E15">
        <v>12</v>
      </c>
      <c r="F15">
        <v>21845.4</v>
      </c>
      <c r="G15">
        <v>1774.4</v>
      </c>
      <c r="H15">
        <v>20071</v>
      </c>
      <c r="I15" t="s">
        <v>77</v>
      </c>
      <c r="J15">
        <v>4.21</v>
      </c>
      <c r="K15">
        <v>18488.91</v>
      </c>
      <c r="L15">
        <f t="shared" si="0"/>
        <v>1820.45</v>
      </c>
      <c r="M15" s="8">
        <f t="shared" si="1"/>
        <v>8.1225338057440005E-2</v>
      </c>
      <c r="N15" s="10">
        <f t="shared" si="2"/>
        <v>84498.91</v>
      </c>
      <c r="O15" s="10">
        <f t="shared" si="3"/>
        <v>66010</v>
      </c>
      <c r="P15" s="9" t="str">
        <f t="shared" si="4"/>
        <v>OK</v>
      </c>
      <c r="Q15" s="9" t="str">
        <f>INDEX(Crops!$B$2:$B$7,MATCH(D15,Crops!$A$2:$A$7,0))</f>
        <v>Soybean</v>
      </c>
      <c r="R15" s="9" t="str">
        <f>INDEX(Districts!$B$2:$B$6,MATCH(C15,Districts!$A$2:$A$6,0))</f>
        <v>Techiman</v>
      </c>
      <c r="T15" t="s">
        <v>278</v>
      </c>
      <c r="U15" s="10">
        <f>SUMIFS($N$2:$N$501,$D$2:$D$501,"C05")</f>
        <v>4099255.5890000006</v>
      </c>
    </row>
    <row r="16" spans="1:21">
      <c r="A16" t="s">
        <v>82</v>
      </c>
      <c r="B16" s="4">
        <v>46114</v>
      </c>
      <c r="C16" t="s">
        <v>53</v>
      </c>
      <c r="D16" t="s">
        <v>33</v>
      </c>
      <c r="E16">
        <v>2.1</v>
      </c>
      <c r="F16">
        <v>3757.2</v>
      </c>
      <c r="G16">
        <v>552.70000000000005</v>
      </c>
      <c r="H16">
        <v>3204.5</v>
      </c>
      <c r="I16" t="s">
        <v>77</v>
      </c>
      <c r="J16">
        <v>5.31</v>
      </c>
      <c r="K16">
        <v>3041.08</v>
      </c>
      <c r="L16">
        <f t="shared" si="0"/>
        <v>1789.1428571428569</v>
      </c>
      <c r="M16" s="8">
        <f t="shared" si="1"/>
        <v>0.14710422655168745</v>
      </c>
      <c r="N16" s="10">
        <f t="shared" si="2"/>
        <v>17015.895</v>
      </c>
      <c r="O16" s="10">
        <f t="shared" si="3"/>
        <v>13974.815000000001</v>
      </c>
      <c r="P16" s="9" t="str">
        <f t="shared" si="4"/>
        <v>OK</v>
      </c>
      <c r="Q16" s="9" t="str">
        <f>INDEX(Crops!$B$2:$B$7,MATCH(D16,Crops!$A$2:$A$7,0))</f>
        <v>Rice</v>
      </c>
      <c r="R16" s="9" t="str">
        <f>INDEX(Districts!$B$2:$B$6,MATCH(C16,Districts!$A$2:$A$6,0))</f>
        <v>Hohoe</v>
      </c>
      <c r="T16" t="s">
        <v>274</v>
      </c>
      <c r="U16" s="10">
        <f>SUMIFS($N$2:$N$501,$D$2:$D$501,"C01")</f>
        <v>3210206.0589999994</v>
      </c>
    </row>
    <row r="17" spans="1:22">
      <c r="A17" t="s">
        <v>83</v>
      </c>
      <c r="B17" s="4">
        <v>45961</v>
      </c>
      <c r="C17" t="s">
        <v>47</v>
      </c>
      <c r="D17" t="s">
        <v>33</v>
      </c>
      <c r="E17">
        <v>2.2000000000000002</v>
      </c>
      <c r="F17">
        <v>5789.3</v>
      </c>
      <c r="G17">
        <v>563.29999999999995</v>
      </c>
      <c r="H17">
        <v>5226</v>
      </c>
      <c r="I17" t="s">
        <v>67</v>
      </c>
      <c r="J17">
        <v>5.96</v>
      </c>
      <c r="K17">
        <v>2220.58</v>
      </c>
      <c r="L17">
        <f t="shared" si="0"/>
        <v>2631.5</v>
      </c>
      <c r="M17" s="8">
        <f t="shared" si="1"/>
        <v>9.7300191733024705E-2</v>
      </c>
      <c r="N17" s="10">
        <f t="shared" si="2"/>
        <v>31146.959999999999</v>
      </c>
      <c r="O17" s="10">
        <f t="shared" si="3"/>
        <v>28926.379999999997</v>
      </c>
      <c r="P17" s="9" t="str">
        <f t="shared" si="4"/>
        <v>OK</v>
      </c>
      <c r="Q17" s="9" t="str">
        <f>INDEX(Crops!$B$2:$B$7,MATCH(D17,Crops!$A$2:$A$7,0))</f>
        <v>Rice</v>
      </c>
      <c r="R17" s="9" t="str">
        <f>INDEX(Districts!$B$2:$B$6,MATCH(C17,Districts!$A$2:$A$6,0))</f>
        <v>Techiman</v>
      </c>
    </row>
    <row r="18" spans="1:22">
      <c r="A18" t="s">
        <v>84</v>
      </c>
      <c r="B18" s="4">
        <v>46057</v>
      </c>
      <c r="C18" t="s">
        <v>51</v>
      </c>
      <c r="D18" t="s">
        <v>35</v>
      </c>
      <c r="E18">
        <v>13.6</v>
      </c>
      <c r="F18">
        <v>115504.3</v>
      </c>
      <c r="G18">
        <v>16132.6</v>
      </c>
      <c r="H18">
        <v>99371.7</v>
      </c>
      <c r="I18" t="s">
        <v>70</v>
      </c>
      <c r="J18">
        <v>7.63</v>
      </c>
      <c r="K18">
        <v>20302.55</v>
      </c>
      <c r="L18">
        <f t="shared" si="0"/>
        <v>8492.9632352941189</v>
      </c>
      <c r="M18" s="8">
        <f t="shared" si="1"/>
        <v>0.13967099060381302</v>
      </c>
      <c r="N18" s="10">
        <f t="shared" si="2"/>
        <v>758206.071</v>
      </c>
      <c r="O18" s="10">
        <f t="shared" si="3"/>
        <v>737903.52099999995</v>
      </c>
      <c r="P18" s="9" t="str">
        <f t="shared" si="4"/>
        <v>OK</v>
      </c>
      <c r="Q18" s="9" t="str">
        <f>INDEX(Crops!$B$2:$B$7,MATCH(D18,Crops!$A$2:$A$7,0))</f>
        <v>Tomato</v>
      </c>
      <c r="R18" s="9" t="str">
        <f>INDEX(Districts!$B$2:$B$6,MATCH(C18,Districts!$A$2:$A$6,0))</f>
        <v>Kintampo</v>
      </c>
      <c r="T18" s="12" t="s">
        <v>280</v>
      </c>
      <c r="U18" s="12"/>
    </row>
    <row r="19" spans="1:22">
      <c r="A19" t="s">
        <v>85</v>
      </c>
      <c r="B19" s="4">
        <v>45862</v>
      </c>
      <c r="C19" t="s">
        <v>45</v>
      </c>
      <c r="D19" t="s">
        <v>35</v>
      </c>
      <c r="E19">
        <v>12.9</v>
      </c>
      <c r="F19">
        <v>92115.3</v>
      </c>
      <c r="G19">
        <v>2849.8</v>
      </c>
      <c r="H19">
        <v>89265.5</v>
      </c>
      <c r="I19" t="s">
        <v>67</v>
      </c>
      <c r="J19">
        <v>5.91</v>
      </c>
      <c r="K19">
        <v>15299.64</v>
      </c>
      <c r="L19">
        <f t="shared" si="0"/>
        <v>7140.7209302325582</v>
      </c>
      <c r="M19" s="8">
        <f t="shared" si="1"/>
        <v>3.0937314430936013E-2</v>
      </c>
      <c r="N19" s="10">
        <f t="shared" si="2"/>
        <v>527559.10499999998</v>
      </c>
      <c r="O19" s="10">
        <f t="shared" si="3"/>
        <v>512259.46499999997</v>
      </c>
      <c r="P19" s="9" t="str">
        <f t="shared" si="4"/>
        <v>OK</v>
      </c>
      <c r="Q19" s="9" t="str">
        <f>INDEX(Crops!$B$2:$B$7,MATCH(D19,Crops!$A$2:$A$7,0))</f>
        <v>Tomato</v>
      </c>
      <c r="R19" s="9" t="str">
        <f>INDEX(Districts!$B$2:$B$6,MATCH(C19,Districts!$A$2:$A$6,0))</f>
        <v>Ejura</v>
      </c>
      <c r="T19" t="s">
        <v>36</v>
      </c>
      <c r="U19" s="10">
        <f>SUMIFS($K$2:$K$501,$D$2:$D$501,"C03")</f>
        <v>1024514.01</v>
      </c>
    </row>
    <row r="20" spans="1:22">
      <c r="A20" t="s">
        <v>86</v>
      </c>
      <c r="B20" s="4">
        <v>46060</v>
      </c>
      <c r="C20" t="s">
        <v>49</v>
      </c>
      <c r="D20" t="s">
        <v>39</v>
      </c>
      <c r="E20">
        <v>7.8</v>
      </c>
      <c r="F20">
        <v>12493.9</v>
      </c>
      <c r="G20">
        <v>441.2</v>
      </c>
      <c r="H20">
        <v>12052.7</v>
      </c>
      <c r="I20" t="s">
        <v>67</v>
      </c>
      <c r="J20">
        <v>4.87</v>
      </c>
      <c r="K20">
        <v>12082.17</v>
      </c>
      <c r="L20">
        <f t="shared" si="0"/>
        <v>1601.7820512820513</v>
      </c>
      <c r="M20" s="8">
        <f t="shared" si="1"/>
        <v>3.5313232857634526E-2</v>
      </c>
      <c r="N20" s="10">
        <f t="shared" si="2"/>
        <v>58696.649000000005</v>
      </c>
      <c r="O20" s="10">
        <f t="shared" si="3"/>
        <v>46614.479000000007</v>
      </c>
      <c r="P20" s="9" t="str">
        <f t="shared" si="4"/>
        <v>OK</v>
      </c>
      <c r="Q20" s="9" t="str">
        <f>INDEX(Crops!$B$2:$B$7,MATCH(D20,Crops!$A$2:$A$7,0))</f>
        <v>Soybean</v>
      </c>
      <c r="R20" s="9" t="str">
        <f>INDEX(Districts!$B$2:$B$6,MATCH(C20,Districts!$A$2:$A$6,0))</f>
        <v>Tamale Metro</v>
      </c>
      <c r="T20" t="s">
        <v>34</v>
      </c>
      <c r="U20" s="10">
        <f>SUMIFS($K$2:$K$501,$D$2:$D$501,"C02")</f>
        <v>927625.84000000008</v>
      </c>
    </row>
    <row r="21" spans="1:22">
      <c r="A21" t="s">
        <v>87</v>
      </c>
      <c r="B21" s="4">
        <v>45848</v>
      </c>
      <c r="C21" t="s">
        <v>45</v>
      </c>
      <c r="D21" t="s">
        <v>39</v>
      </c>
      <c r="E21">
        <v>6.7</v>
      </c>
      <c r="F21">
        <v>13190.3</v>
      </c>
      <c r="G21">
        <v>439.3</v>
      </c>
      <c r="H21">
        <v>12751</v>
      </c>
      <c r="I21" t="s">
        <v>65</v>
      </c>
      <c r="J21">
        <v>5.22</v>
      </c>
      <c r="K21">
        <v>5008.09</v>
      </c>
      <c r="L21">
        <f t="shared" si="0"/>
        <v>1968.7014925373132</v>
      </c>
      <c r="M21" s="8">
        <f t="shared" si="1"/>
        <v>3.3304776995216182E-2</v>
      </c>
      <c r="N21" s="10">
        <f t="shared" si="2"/>
        <v>66560.22</v>
      </c>
      <c r="O21" s="10">
        <f t="shared" si="3"/>
        <v>61552.130000000005</v>
      </c>
      <c r="P21" s="9" t="str">
        <f t="shared" si="4"/>
        <v>OK</v>
      </c>
      <c r="Q21" s="9" t="str">
        <f>INDEX(Crops!$B$2:$B$7,MATCH(D21,Crops!$A$2:$A$7,0))</f>
        <v>Soybean</v>
      </c>
      <c r="R21" s="9" t="str">
        <f>INDEX(Districts!$B$2:$B$6,MATCH(C21,Districts!$A$2:$A$6,0))</f>
        <v>Ejura</v>
      </c>
      <c r="T21" t="s">
        <v>40</v>
      </c>
      <c r="U21" s="10">
        <f>SUMIFS($K$2:$K$501,$D$2:$D$501,"C05")</f>
        <v>820293.04999999993</v>
      </c>
    </row>
    <row r="22" spans="1:22">
      <c r="A22" t="s">
        <v>88</v>
      </c>
      <c r="B22" s="4">
        <v>46124</v>
      </c>
      <c r="C22" t="s">
        <v>53</v>
      </c>
      <c r="D22" t="s">
        <v>37</v>
      </c>
      <c r="E22">
        <v>3.8</v>
      </c>
      <c r="F22">
        <v>19524.8</v>
      </c>
      <c r="G22">
        <v>2536.8000000000002</v>
      </c>
      <c r="H22">
        <v>16988</v>
      </c>
      <c r="I22" t="s">
        <v>70</v>
      </c>
      <c r="J22">
        <v>8.31</v>
      </c>
      <c r="K22">
        <v>6059.77</v>
      </c>
      <c r="L22">
        <f t="shared" si="0"/>
        <v>5138.105263157895</v>
      </c>
      <c r="M22" s="8">
        <f t="shared" si="1"/>
        <v>0.12992706711464394</v>
      </c>
      <c r="N22" s="10">
        <f t="shared" si="2"/>
        <v>141170.28</v>
      </c>
      <c r="O22" s="10">
        <f t="shared" si="3"/>
        <v>135110.51</v>
      </c>
      <c r="P22" s="9" t="str">
        <f t="shared" si="4"/>
        <v>OK</v>
      </c>
      <c r="Q22" s="9" t="str">
        <f>INDEX(Crops!$B$2:$B$7,MATCH(D22,Crops!$A$2:$A$7,0))</f>
        <v>Pepper</v>
      </c>
      <c r="R22" s="9" t="str">
        <f>INDEX(Districts!$B$2:$B$6,MATCH(C22,Districts!$A$2:$A$6,0))</f>
        <v>Hohoe</v>
      </c>
      <c r="T22" t="s">
        <v>32</v>
      </c>
      <c r="U22" s="10">
        <f>SUMIFS($K$2:$K$501,$D$2:$D$501,"C01")</f>
        <v>756151.94</v>
      </c>
    </row>
    <row r="23" spans="1:22">
      <c r="A23" t="s">
        <v>89</v>
      </c>
      <c r="B23" s="4">
        <v>46179</v>
      </c>
      <c r="C23" t="s">
        <v>51</v>
      </c>
      <c r="D23" t="s">
        <v>41</v>
      </c>
      <c r="E23">
        <v>7</v>
      </c>
      <c r="F23">
        <v>53598.9</v>
      </c>
      <c r="G23">
        <v>4311.7</v>
      </c>
      <c r="H23">
        <v>49287.199999999997</v>
      </c>
      <c r="I23" t="s">
        <v>70</v>
      </c>
      <c r="J23">
        <v>2.69</v>
      </c>
      <c r="K23">
        <v>6886.83</v>
      </c>
      <c r="L23">
        <f t="shared" si="0"/>
        <v>7656.9857142857145</v>
      </c>
      <c r="M23" s="8">
        <f t="shared" si="1"/>
        <v>8.0443815078294512E-2</v>
      </c>
      <c r="N23" s="10">
        <f t="shared" si="2"/>
        <v>132582.568</v>
      </c>
      <c r="O23" s="10">
        <f t="shared" si="3"/>
        <v>125695.738</v>
      </c>
      <c r="P23" s="9" t="str">
        <f t="shared" si="4"/>
        <v>OK</v>
      </c>
      <c r="Q23" s="9" t="str">
        <f>INDEX(Crops!$B$2:$B$7,MATCH(D23,Crops!$A$2:$A$7,0))</f>
        <v>Cassava</v>
      </c>
      <c r="R23" s="9" t="str">
        <f>INDEX(Districts!$B$2:$B$6,MATCH(C23,Districts!$A$2:$A$6,0))</f>
        <v>Kintampo</v>
      </c>
      <c r="T23" t="s">
        <v>42</v>
      </c>
      <c r="U23" s="10">
        <f>SUMIFS($K$2:$K$501,$D$2:$D$501,"C06")</f>
        <v>717320.00000000012</v>
      </c>
    </row>
    <row r="24" spans="1:22">
      <c r="A24" t="s">
        <v>90</v>
      </c>
      <c r="B24" s="4">
        <v>46018</v>
      </c>
      <c r="C24" t="s">
        <v>53</v>
      </c>
      <c r="D24" t="s">
        <v>41</v>
      </c>
      <c r="E24">
        <v>7.3</v>
      </c>
      <c r="F24">
        <v>56037.4</v>
      </c>
      <c r="G24">
        <v>7311.7</v>
      </c>
      <c r="H24">
        <v>48725.7</v>
      </c>
      <c r="I24" t="s">
        <v>67</v>
      </c>
      <c r="J24">
        <v>2.27</v>
      </c>
      <c r="K24">
        <v>8292.6200000000008</v>
      </c>
      <c r="L24">
        <f t="shared" si="0"/>
        <v>7676.3561643835619</v>
      </c>
      <c r="M24" s="8">
        <f t="shared" si="1"/>
        <v>0.13047893014308301</v>
      </c>
      <c r="N24" s="10">
        <f t="shared" si="2"/>
        <v>110607.33899999999</v>
      </c>
      <c r="O24" s="10">
        <f t="shared" si="3"/>
        <v>102314.719</v>
      </c>
      <c r="P24" s="9" t="str">
        <f t="shared" si="4"/>
        <v>OK</v>
      </c>
      <c r="Q24" s="9" t="str">
        <f>INDEX(Crops!$B$2:$B$7,MATCH(D24,Crops!$A$2:$A$7,0))</f>
        <v>Cassava</v>
      </c>
      <c r="R24" s="9" t="str">
        <f>INDEX(Districts!$B$2:$B$6,MATCH(C24,Districts!$A$2:$A$6,0))</f>
        <v>Hohoe</v>
      </c>
      <c r="T24" t="s">
        <v>38</v>
      </c>
      <c r="U24" s="10">
        <f>SUMIFS($K$2:$K$501,$D$2:$D$501,"C04")</f>
        <v>713158.34000000008</v>
      </c>
    </row>
    <row r="25" spans="1:22">
      <c r="A25" t="s">
        <v>91</v>
      </c>
      <c r="B25" s="4">
        <v>45894</v>
      </c>
      <c r="C25" t="s">
        <v>49</v>
      </c>
      <c r="D25" t="s">
        <v>33</v>
      </c>
      <c r="E25">
        <v>8.5</v>
      </c>
      <c r="F25">
        <v>20220.900000000001</v>
      </c>
      <c r="G25">
        <v>1942.1</v>
      </c>
      <c r="H25">
        <v>18278.8</v>
      </c>
      <c r="I25" t="s">
        <v>67</v>
      </c>
      <c r="J25">
        <v>6.82</v>
      </c>
      <c r="K25">
        <v>13626.91</v>
      </c>
      <c r="L25">
        <f t="shared" si="0"/>
        <v>2378.9294117647059</v>
      </c>
      <c r="M25" s="8">
        <f t="shared" si="1"/>
        <v>9.6044191900459416E-2</v>
      </c>
      <c r="N25" s="10">
        <f t="shared" si="2"/>
        <v>124661.416</v>
      </c>
      <c r="O25" s="10">
        <f t="shared" si="3"/>
        <v>111034.50599999999</v>
      </c>
      <c r="P25" s="9" t="str">
        <f t="shared" si="4"/>
        <v>OK</v>
      </c>
      <c r="Q25" s="9" t="str">
        <f>INDEX(Crops!$B$2:$B$7,MATCH(D25,Crops!$A$2:$A$7,0))</f>
        <v>Rice</v>
      </c>
      <c r="R25" s="9" t="str">
        <f>INDEX(Districts!$B$2:$B$6,MATCH(C25,Districts!$A$2:$A$6,0))</f>
        <v>Tamale Metro</v>
      </c>
    </row>
    <row r="26" spans="1:22">
      <c r="A26" t="s">
        <v>92</v>
      </c>
      <c r="B26" s="4">
        <v>46049</v>
      </c>
      <c r="C26" t="s">
        <v>49</v>
      </c>
      <c r="D26" t="s">
        <v>31</v>
      </c>
      <c r="E26">
        <v>8.9</v>
      </c>
      <c r="F26">
        <v>14528.1</v>
      </c>
      <c r="G26">
        <v>1525.2</v>
      </c>
      <c r="H26">
        <v>13002.9</v>
      </c>
      <c r="I26" t="s">
        <v>77</v>
      </c>
      <c r="J26">
        <v>3.79</v>
      </c>
      <c r="K26">
        <v>12986.23</v>
      </c>
      <c r="L26">
        <f t="shared" si="0"/>
        <v>1632.370786516854</v>
      </c>
      <c r="M26" s="8">
        <f t="shared" si="1"/>
        <v>0.10498275755260496</v>
      </c>
      <c r="N26" s="10">
        <f t="shared" si="2"/>
        <v>49280.991000000002</v>
      </c>
      <c r="O26" s="10">
        <f t="shared" si="3"/>
        <v>36294.760999999999</v>
      </c>
      <c r="P26" s="9" t="str">
        <f t="shared" si="4"/>
        <v>OK</v>
      </c>
      <c r="Q26" s="9" t="str">
        <f>INDEX(Crops!$B$2:$B$7,MATCH(D26,Crops!$A$2:$A$7,0))</f>
        <v>Maize</v>
      </c>
      <c r="R26" s="9" t="str">
        <f>INDEX(Districts!$B$2:$B$6,MATCH(C26,Districts!$A$2:$A$6,0))</f>
        <v>Tamale Metro</v>
      </c>
      <c r="T26" s="13" t="s">
        <v>281</v>
      </c>
      <c r="U26" s="13"/>
      <c r="V26" t="s">
        <v>282</v>
      </c>
    </row>
    <row r="27" spans="1:22">
      <c r="A27" t="s">
        <v>93</v>
      </c>
      <c r="B27" s="4">
        <v>46131</v>
      </c>
      <c r="C27" t="s">
        <v>51</v>
      </c>
      <c r="D27" t="s">
        <v>31</v>
      </c>
      <c r="E27">
        <v>15</v>
      </c>
      <c r="F27">
        <v>29249.8</v>
      </c>
      <c r="G27">
        <v>1250.8</v>
      </c>
      <c r="H27">
        <v>27999</v>
      </c>
      <c r="I27" t="s">
        <v>65</v>
      </c>
      <c r="J27">
        <v>2.99</v>
      </c>
      <c r="K27">
        <v>12276.47</v>
      </c>
      <c r="L27">
        <f t="shared" si="0"/>
        <v>1949.9866666666667</v>
      </c>
      <c r="M27" s="8">
        <f t="shared" si="1"/>
        <v>4.2762685556824317E-2</v>
      </c>
      <c r="N27" s="10">
        <f t="shared" si="2"/>
        <v>83717.010000000009</v>
      </c>
      <c r="O27" s="10">
        <f t="shared" si="3"/>
        <v>71440.540000000008</v>
      </c>
      <c r="P27" s="9" t="str">
        <f t="shared" si="4"/>
        <v>OK</v>
      </c>
      <c r="Q27" s="9" t="str">
        <f>INDEX(Crops!$B$2:$B$7,MATCH(D27,Crops!$A$2:$A$7,0))</f>
        <v>Maize</v>
      </c>
      <c r="R27" s="9" t="str">
        <f>INDEX(Districts!$B$2:$B$6,MATCH(C27,Districts!$A$2:$A$6,0))</f>
        <v>Kintampo</v>
      </c>
      <c r="T27" t="s">
        <v>36</v>
      </c>
      <c r="U27" s="10">
        <f>SUMIFS($O$2:$O$501,$D$2:$D$501,"C03")</f>
        <v>34941695.394000001</v>
      </c>
      <c r="V27" s="14">
        <f xml:space="preserve"> (U11 - U19) / U11</f>
        <v>0.97151454025938977</v>
      </c>
    </row>
    <row r="28" spans="1:22">
      <c r="A28" t="s">
        <v>94</v>
      </c>
      <c r="B28" s="4">
        <v>46013</v>
      </c>
      <c r="C28" t="s">
        <v>47</v>
      </c>
      <c r="D28" t="s">
        <v>33</v>
      </c>
      <c r="E28">
        <v>6</v>
      </c>
      <c r="F28">
        <v>11042.2</v>
      </c>
      <c r="G28">
        <v>863.5</v>
      </c>
      <c r="H28">
        <v>10178.700000000001</v>
      </c>
      <c r="I28" t="s">
        <v>77</v>
      </c>
      <c r="J28">
        <v>4.97</v>
      </c>
      <c r="K28">
        <v>5788.26</v>
      </c>
      <c r="L28">
        <f t="shared" si="0"/>
        <v>1840.3666666666668</v>
      </c>
      <c r="M28" s="8">
        <f t="shared" si="1"/>
        <v>7.8199996377533457E-2</v>
      </c>
      <c r="N28" s="10">
        <f t="shared" si="2"/>
        <v>50588.139000000003</v>
      </c>
      <c r="O28" s="10">
        <f t="shared" si="3"/>
        <v>44799.879000000001</v>
      </c>
      <c r="P28" s="9" t="str">
        <f t="shared" si="4"/>
        <v>OK</v>
      </c>
      <c r="Q28" s="9" t="str">
        <f>INDEX(Crops!$B$2:$B$7,MATCH(D28,Crops!$A$2:$A$7,0))</f>
        <v>Rice</v>
      </c>
      <c r="R28" s="9" t="str">
        <f>INDEX(Districts!$B$2:$B$6,MATCH(C28,Districts!$A$2:$A$6,0))</f>
        <v>Techiman</v>
      </c>
      <c r="T28" t="s">
        <v>38</v>
      </c>
      <c r="U28" s="10">
        <f>SUMIFS($O$2:$O$501,$D$2:$D$501,"C04")</f>
        <v>22972065.900000002</v>
      </c>
      <c r="V28" s="14">
        <f xml:space="preserve"> (U12 - U24) / U12</f>
        <v>0.96989015882756113</v>
      </c>
    </row>
    <row r="29" spans="1:22">
      <c r="A29" t="s">
        <v>95</v>
      </c>
      <c r="B29" s="4">
        <v>46044</v>
      </c>
      <c r="C29" t="s">
        <v>49</v>
      </c>
      <c r="D29" t="s">
        <v>33</v>
      </c>
      <c r="E29">
        <v>12.9</v>
      </c>
      <c r="F29">
        <v>26760</v>
      </c>
      <c r="G29">
        <v>3173.3</v>
      </c>
      <c r="H29">
        <v>23586.7</v>
      </c>
      <c r="I29" t="s">
        <v>70</v>
      </c>
      <c r="J29">
        <v>6.48</v>
      </c>
      <c r="K29">
        <v>15846.65</v>
      </c>
      <c r="L29">
        <f t="shared" si="0"/>
        <v>2074.4186046511627</v>
      </c>
      <c r="M29" s="8">
        <f t="shared" si="1"/>
        <v>0.11858370702541107</v>
      </c>
      <c r="N29" s="10">
        <f t="shared" si="2"/>
        <v>152841.81600000002</v>
      </c>
      <c r="O29" s="10">
        <f t="shared" si="3"/>
        <v>136995.16600000003</v>
      </c>
      <c r="P29" s="9" t="str">
        <f t="shared" si="4"/>
        <v>OK</v>
      </c>
      <c r="Q29" s="9" t="str">
        <f>INDEX(Crops!$B$2:$B$7,MATCH(D29,Crops!$A$2:$A$7,0))</f>
        <v>Rice</v>
      </c>
      <c r="R29" s="9" t="str">
        <f>INDEX(Districts!$B$2:$B$6,MATCH(C29,Districts!$A$2:$A$6,0))</f>
        <v>Tamale Metro</v>
      </c>
      <c r="T29" t="s">
        <v>34</v>
      </c>
      <c r="U29" s="10">
        <f>SUMIFS($O$2:$O$501,$D$2:$D$501,"C02")</f>
        <v>8368911.1699999999</v>
      </c>
      <c r="V29" s="14">
        <f xml:space="preserve"> (U13 - U20) / U13</f>
        <v>0.9002181307940601</v>
      </c>
    </row>
    <row r="30" spans="1:22">
      <c r="A30" t="s">
        <v>96</v>
      </c>
      <c r="B30" s="4">
        <v>46153</v>
      </c>
      <c r="C30" t="s">
        <v>53</v>
      </c>
      <c r="D30" t="s">
        <v>39</v>
      </c>
      <c r="E30">
        <v>13.4</v>
      </c>
      <c r="F30">
        <v>14163.1</v>
      </c>
      <c r="G30">
        <v>2072.1</v>
      </c>
      <c r="H30">
        <v>12091</v>
      </c>
      <c r="I30" t="s">
        <v>65</v>
      </c>
      <c r="J30">
        <v>5.36</v>
      </c>
      <c r="K30">
        <v>12492.51</v>
      </c>
      <c r="L30">
        <f t="shared" si="0"/>
        <v>1056.9477611940299</v>
      </c>
      <c r="M30" s="8">
        <f t="shared" si="1"/>
        <v>0.14630271621325838</v>
      </c>
      <c r="N30" s="10">
        <f t="shared" si="2"/>
        <v>64807.76</v>
      </c>
      <c r="O30" s="10">
        <f t="shared" si="3"/>
        <v>52315.25</v>
      </c>
      <c r="P30" s="9" t="str">
        <f t="shared" si="4"/>
        <v>OK</v>
      </c>
      <c r="Q30" s="9" t="str">
        <f>INDEX(Crops!$B$2:$B$7,MATCH(D30,Crops!$A$2:$A$7,0))</f>
        <v>Soybean</v>
      </c>
      <c r="R30" s="9" t="str">
        <f>INDEX(Districts!$B$2:$B$6,MATCH(C30,Districts!$A$2:$A$6,0))</f>
        <v>Hohoe</v>
      </c>
      <c r="T30" t="s">
        <v>42</v>
      </c>
      <c r="U30" s="10">
        <f>SUMIFS($O$2:$O$501,$D$2:$D$501,"C06")</f>
        <v>7574519.4180000033</v>
      </c>
      <c r="V30" s="14">
        <f xml:space="preserve"> (U14 - U23) / U14</f>
        <v>0.91349084758650356</v>
      </c>
    </row>
    <row r="31" spans="1:22">
      <c r="A31" t="s">
        <v>97</v>
      </c>
      <c r="B31" s="4">
        <v>45912</v>
      </c>
      <c r="C31" t="s">
        <v>49</v>
      </c>
      <c r="D31" t="s">
        <v>37</v>
      </c>
      <c r="E31">
        <v>1.9</v>
      </c>
      <c r="F31">
        <v>12182.2</v>
      </c>
      <c r="G31">
        <v>910</v>
      </c>
      <c r="H31">
        <v>11272.2</v>
      </c>
      <c r="I31" t="s">
        <v>65</v>
      </c>
      <c r="J31">
        <v>9.7799999999999994</v>
      </c>
      <c r="K31">
        <v>1926.57</v>
      </c>
      <c r="L31">
        <f t="shared" si="0"/>
        <v>6411.6842105263167</v>
      </c>
      <c r="M31" s="8">
        <f t="shared" si="1"/>
        <v>7.4699151220633378E-2</v>
      </c>
      <c r="N31" s="10">
        <f t="shared" si="2"/>
        <v>110242.11599999999</v>
      </c>
      <c r="O31" s="10">
        <f t="shared" si="3"/>
        <v>108315.54599999999</v>
      </c>
      <c r="P31" s="9" t="str">
        <f t="shared" si="4"/>
        <v>OK</v>
      </c>
      <c r="Q31" s="9" t="str">
        <f>INDEX(Crops!$B$2:$B$7,MATCH(D31,Crops!$A$2:$A$7,0))</f>
        <v>Pepper</v>
      </c>
      <c r="R31" s="9" t="str">
        <f>INDEX(Districts!$B$2:$B$6,MATCH(C31,Districts!$A$2:$A$6,0))</f>
        <v>Tamale Metro</v>
      </c>
      <c r="T31" t="s">
        <v>40</v>
      </c>
      <c r="U31" s="10">
        <f>SUMIFS($O$2:$O$501,$D$2:$D$501,"C05")</f>
        <v>3278962.5390000008</v>
      </c>
      <c r="V31" s="14">
        <f xml:space="preserve"> (U15 - U21) / U15</f>
        <v>0.7998921920845371</v>
      </c>
    </row>
    <row r="32" spans="1:22">
      <c r="A32" t="s">
        <v>98</v>
      </c>
      <c r="B32" s="4">
        <v>46201</v>
      </c>
      <c r="C32" t="s">
        <v>45</v>
      </c>
      <c r="D32" t="s">
        <v>41</v>
      </c>
      <c r="E32">
        <v>4.7</v>
      </c>
      <c r="F32">
        <v>32979.9</v>
      </c>
      <c r="G32">
        <v>1452.6</v>
      </c>
      <c r="H32">
        <v>31527.3</v>
      </c>
      <c r="I32" t="s">
        <v>67</v>
      </c>
      <c r="J32">
        <v>2.73</v>
      </c>
      <c r="K32">
        <v>3441.09</v>
      </c>
      <c r="L32">
        <f t="shared" si="0"/>
        <v>7017</v>
      </c>
      <c r="M32" s="8">
        <f t="shared" si="1"/>
        <v>4.4045009232896393E-2</v>
      </c>
      <c r="N32" s="10">
        <f t="shared" si="2"/>
        <v>86069.528999999995</v>
      </c>
      <c r="O32" s="10">
        <f t="shared" si="3"/>
        <v>82628.438999999998</v>
      </c>
      <c r="P32" s="9" t="str">
        <f t="shared" si="4"/>
        <v>OK</v>
      </c>
      <c r="Q32" s="9" t="str">
        <f>INDEX(Crops!$B$2:$B$7,MATCH(D32,Crops!$A$2:$A$7,0))</f>
        <v>Cassava</v>
      </c>
      <c r="R32" s="9" t="str">
        <f>INDEX(Districts!$B$2:$B$6,MATCH(C32,Districts!$A$2:$A$6,0))</f>
        <v>Ejura</v>
      </c>
      <c r="T32" t="s">
        <v>32</v>
      </c>
      <c r="U32" s="10">
        <f>SUMIFS($O$2:$O$501,$D$2:$D$501,"C01")</f>
        <v>2454054.1189999986</v>
      </c>
      <c r="V32" s="14">
        <f xml:space="preserve"> (U16 - U22) / U16</f>
        <v>0.76445376835543499</v>
      </c>
    </row>
    <row r="33" spans="1:18">
      <c r="A33" t="s">
        <v>91</v>
      </c>
      <c r="B33" s="4">
        <v>45857</v>
      </c>
      <c r="C33" t="s">
        <v>45</v>
      </c>
      <c r="D33" t="s">
        <v>41</v>
      </c>
      <c r="E33">
        <v>7.8</v>
      </c>
      <c r="F33">
        <v>35529.199999999997</v>
      </c>
      <c r="G33">
        <v>2377.6</v>
      </c>
      <c r="H33">
        <v>33151.599999999999</v>
      </c>
      <c r="I33" t="s">
        <v>67</v>
      </c>
      <c r="J33">
        <v>2.54</v>
      </c>
      <c r="K33">
        <v>11431.77</v>
      </c>
      <c r="L33">
        <f t="shared" si="0"/>
        <v>4555.0256410256407</v>
      </c>
      <c r="M33" s="8">
        <f t="shared" si="1"/>
        <v>6.6919604156581075E-2</v>
      </c>
      <c r="N33" s="10">
        <f t="shared" si="2"/>
        <v>84205.063999999998</v>
      </c>
      <c r="O33" s="10">
        <f t="shared" si="3"/>
        <v>72773.293999999994</v>
      </c>
      <c r="P33" s="9" t="str">
        <f t="shared" si="4"/>
        <v>OK</v>
      </c>
      <c r="Q33" s="9" t="str">
        <f>INDEX(Crops!$B$2:$B$7,MATCH(D33,Crops!$A$2:$A$7,0))</f>
        <v>Cassava</v>
      </c>
      <c r="R33" s="9" t="str">
        <f>INDEX(Districts!$B$2:$B$6,MATCH(C33,Districts!$A$2:$A$6,0))</f>
        <v>Ejura</v>
      </c>
    </row>
    <row r="34" spans="1:18">
      <c r="A34" t="s">
        <v>99</v>
      </c>
      <c r="B34" s="4">
        <v>46011</v>
      </c>
      <c r="C34" t="s">
        <v>53</v>
      </c>
      <c r="D34" t="s">
        <v>39</v>
      </c>
      <c r="E34">
        <v>10.3</v>
      </c>
      <c r="F34">
        <v>13728.5</v>
      </c>
      <c r="G34">
        <v>434.1</v>
      </c>
      <c r="H34">
        <v>13294.4</v>
      </c>
      <c r="I34" t="s">
        <v>70</v>
      </c>
      <c r="J34">
        <v>5.23</v>
      </c>
      <c r="K34">
        <v>12199.7</v>
      </c>
      <c r="L34">
        <f t="shared" si="0"/>
        <v>1332.8640776699028</v>
      </c>
      <c r="M34" s="8">
        <f t="shared" si="1"/>
        <v>3.1620351822850279E-2</v>
      </c>
      <c r="N34" s="10">
        <f t="shared" si="2"/>
        <v>69529.712</v>
      </c>
      <c r="O34" s="10">
        <f t="shared" si="3"/>
        <v>57330.012000000002</v>
      </c>
      <c r="P34" s="9" t="str">
        <f t="shared" si="4"/>
        <v>OK</v>
      </c>
      <c r="Q34" s="9" t="str">
        <f>INDEX(Crops!$B$2:$B$7,MATCH(D34,Crops!$A$2:$A$7,0))</f>
        <v>Soybean</v>
      </c>
      <c r="R34" s="9" t="str">
        <f>INDEX(Districts!$B$2:$B$6,MATCH(C34,Districts!$A$2:$A$6,0))</f>
        <v>Hohoe</v>
      </c>
    </row>
    <row r="35" spans="1:18">
      <c r="A35" t="s">
        <v>100</v>
      </c>
      <c r="B35" s="4">
        <v>46026</v>
      </c>
      <c r="C35" t="s">
        <v>49</v>
      </c>
      <c r="D35" t="s">
        <v>41</v>
      </c>
      <c r="E35">
        <v>8.1</v>
      </c>
      <c r="F35">
        <v>32729.599999999999</v>
      </c>
      <c r="G35">
        <v>1801.9</v>
      </c>
      <c r="H35">
        <v>30927.7</v>
      </c>
      <c r="I35" t="s">
        <v>70</v>
      </c>
      <c r="J35">
        <v>2.19</v>
      </c>
      <c r="K35">
        <v>6146.74</v>
      </c>
      <c r="L35">
        <f t="shared" si="0"/>
        <v>4040.6913580246915</v>
      </c>
      <c r="M35" s="8">
        <f t="shared" si="1"/>
        <v>5.5054140594446625E-2</v>
      </c>
      <c r="N35" s="10">
        <f t="shared" si="2"/>
        <v>67731.663</v>
      </c>
      <c r="O35" s="10">
        <f t="shared" si="3"/>
        <v>61584.923000000003</v>
      </c>
      <c r="P35" s="9" t="str">
        <f t="shared" si="4"/>
        <v>OK</v>
      </c>
      <c r="Q35" s="9" t="str">
        <f>INDEX(Crops!$B$2:$B$7,MATCH(D35,Crops!$A$2:$A$7,0))</f>
        <v>Cassava</v>
      </c>
      <c r="R35" s="9" t="str">
        <f>INDEX(Districts!$B$2:$B$6,MATCH(C35,Districts!$A$2:$A$6,0))</f>
        <v>Tamale Metro</v>
      </c>
    </row>
    <row r="36" spans="1:18">
      <c r="A36" t="s">
        <v>101</v>
      </c>
      <c r="B36" s="4">
        <v>45845</v>
      </c>
      <c r="C36" t="s">
        <v>51</v>
      </c>
      <c r="D36" t="s">
        <v>33</v>
      </c>
      <c r="E36">
        <v>5</v>
      </c>
      <c r="F36">
        <v>9246.7000000000007</v>
      </c>
      <c r="G36">
        <v>711</v>
      </c>
      <c r="H36">
        <v>8535.7000000000007</v>
      </c>
      <c r="I36" t="s">
        <v>70</v>
      </c>
      <c r="J36">
        <v>5.25</v>
      </c>
      <c r="K36">
        <v>8339.42</v>
      </c>
      <c r="L36">
        <f t="shared" si="0"/>
        <v>1849.3400000000001</v>
      </c>
      <c r="M36" s="8">
        <f t="shared" si="1"/>
        <v>7.6892296711259148E-2</v>
      </c>
      <c r="N36" s="10">
        <f t="shared" si="2"/>
        <v>44812.425000000003</v>
      </c>
      <c r="O36" s="10">
        <f t="shared" si="3"/>
        <v>36473.005000000005</v>
      </c>
      <c r="P36" s="9" t="str">
        <f t="shared" si="4"/>
        <v>OK</v>
      </c>
      <c r="Q36" s="9" t="str">
        <f>INDEX(Crops!$B$2:$B$7,MATCH(D36,Crops!$A$2:$A$7,0))</f>
        <v>Rice</v>
      </c>
      <c r="R36" s="9" t="str">
        <f>INDEX(Districts!$B$2:$B$6,MATCH(C36,Districts!$A$2:$A$6,0))</f>
        <v>Kintampo</v>
      </c>
    </row>
    <row r="37" spans="1:18">
      <c r="A37" t="s">
        <v>102</v>
      </c>
      <c r="B37" s="4">
        <v>45885</v>
      </c>
      <c r="C37" t="s">
        <v>51</v>
      </c>
      <c r="D37" t="s">
        <v>39</v>
      </c>
      <c r="E37">
        <v>10.3</v>
      </c>
      <c r="F37">
        <v>19790.099999999999</v>
      </c>
      <c r="G37">
        <v>1470.3</v>
      </c>
      <c r="H37">
        <v>18319.8</v>
      </c>
      <c r="I37" t="s">
        <v>67</v>
      </c>
      <c r="J37">
        <v>4.3600000000000003</v>
      </c>
      <c r="K37">
        <v>15824.81</v>
      </c>
      <c r="L37">
        <f t="shared" si="0"/>
        <v>1921.3689320388346</v>
      </c>
      <c r="M37" s="8">
        <f t="shared" si="1"/>
        <v>7.4294723119135334E-2</v>
      </c>
      <c r="N37" s="10">
        <f t="shared" si="2"/>
        <v>79874.328000000009</v>
      </c>
      <c r="O37" s="10">
        <f t="shared" si="3"/>
        <v>64049.518000000011</v>
      </c>
      <c r="P37" s="9" t="str">
        <f t="shared" si="4"/>
        <v>OK</v>
      </c>
      <c r="Q37" s="9" t="str">
        <f>INDEX(Crops!$B$2:$B$7,MATCH(D37,Crops!$A$2:$A$7,0))</f>
        <v>Soybean</v>
      </c>
      <c r="R37" s="9" t="str">
        <f>INDEX(Districts!$B$2:$B$6,MATCH(C37,Districts!$A$2:$A$6,0))</f>
        <v>Kintampo</v>
      </c>
    </row>
    <row r="38" spans="1:18">
      <c r="A38" t="s">
        <v>103</v>
      </c>
      <c r="B38" s="4">
        <v>45945</v>
      </c>
      <c r="C38" t="s">
        <v>45</v>
      </c>
      <c r="D38" t="s">
        <v>39</v>
      </c>
      <c r="E38">
        <v>11.9</v>
      </c>
      <c r="F38">
        <v>12507.4</v>
      </c>
      <c r="G38">
        <v>556.79999999999995</v>
      </c>
      <c r="H38">
        <v>11950.6</v>
      </c>
      <c r="I38" t="s">
        <v>77</v>
      </c>
      <c r="J38">
        <v>5.12</v>
      </c>
      <c r="K38">
        <v>8108.69</v>
      </c>
      <c r="L38">
        <f t="shared" si="0"/>
        <v>1051.0420168067226</v>
      </c>
      <c r="M38" s="8">
        <f t="shared" si="1"/>
        <v>4.4517645553832128E-2</v>
      </c>
      <c r="N38" s="10">
        <f t="shared" si="2"/>
        <v>61187.072</v>
      </c>
      <c r="O38" s="10">
        <f t="shared" si="3"/>
        <v>53078.381999999998</v>
      </c>
      <c r="P38" s="9" t="str">
        <f t="shared" si="4"/>
        <v>OK</v>
      </c>
      <c r="Q38" s="9" t="str">
        <f>INDEX(Crops!$B$2:$B$7,MATCH(D38,Crops!$A$2:$A$7,0))</f>
        <v>Soybean</v>
      </c>
      <c r="R38" s="9" t="str">
        <f>INDEX(Districts!$B$2:$B$6,MATCH(C38,Districts!$A$2:$A$6,0))</f>
        <v>Ejura</v>
      </c>
    </row>
    <row r="39" spans="1:18">
      <c r="A39" t="s">
        <v>104</v>
      </c>
      <c r="B39" s="4">
        <v>45878</v>
      </c>
      <c r="C39" t="s">
        <v>51</v>
      </c>
      <c r="D39" t="s">
        <v>31</v>
      </c>
      <c r="E39">
        <v>12</v>
      </c>
      <c r="F39">
        <v>15728.1</v>
      </c>
      <c r="G39">
        <v>1013.9</v>
      </c>
      <c r="H39">
        <v>14714.2</v>
      </c>
      <c r="I39" t="s">
        <v>67</v>
      </c>
      <c r="J39">
        <v>2.73</v>
      </c>
      <c r="K39">
        <v>15109.5</v>
      </c>
      <c r="L39">
        <f t="shared" si="0"/>
        <v>1310.675</v>
      </c>
      <c r="M39" s="8">
        <f t="shared" si="1"/>
        <v>6.446423916429829E-2</v>
      </c>
      <c r="N39" s="10">
        <f t="shared" si="2"/>
        <v>40169.766000000003</v>
      </c>
      <c r="O39" s="10">
        <f t="shared" si="3"/>
        <v>25060.266000000003</v>
      </c>
      <c r="P39" s="9" t="str">
        <f t="shared" si="4"/>
        <v>OK</v>
      </c>
      <c r="Q39" s="9" t="str">
        <f>INDEX(Crops!$B$2:$B$7,MATCH(D39,Crops!$A$2:$A$7,0))</f>
        <v>Maize</v>
      </c>
      <c r="R39" s="9" t="str">
        <f>INDEX(Districts!$B$2:$B$6,MATCH(C39,Districts!$A$2:$A$6,0))</f>
        <v>Kintampo</v>
      </c>
    </row>
    <row r="40" spans="1:18">
      <c r="A40" t="s">
        <v>105</v>
      </c>
      <c r="B40" s="4">
        <v>45950</v>
      </c>
      <c r="C40" t="s">
        <v>47</v>
      </c>
      <c r="D40" t="s">
        <v>31</v>
      </c>
      <c r="E40">
        <v>13.4</v>
      </c>
      <c r="F40">
        <v>23211.599999999999</v>
      </c>
      <c r="G40">
        <v>2893.1</v>
      </c>
      <c r="H40">
        <v>20318.5</v>
      </c>
      <c r="I40" t="s">
        <v>67</v>
      </c>
      <c r="J40">
        <v>2.95</v>
      </c>
      <c r="K40">
        <v>20095.439999999999</v>
      </c>
      <c r="L40">
        <f t="shared" si="0"/>
        <v>1732.2089552238804</v>
      </c>
      <c r="M40" s="8">
        <f t="shared" si="1"/>
        <v>0.12464026607385963</v>
      </c>
      <c r="N40" s="10">
        <f t="shared" si="2"/>
        <v>59939.575000000004</v>
      </c>
      <c r="O40" s="10">
        <f t="shared" si="3"/>
        <v>39844.135000000009</v>
      </c>
      <c r="P40" s="9" t="str">
        <f t="shared" si="4"/>
        <v>OK</v>
      </c>
      <c r="Q40" s="9" t="str">
        <f>INDEX(Crops!$B$2:$B$7,MATCH(D40,Crops!$A$2:$A$7,0))</f>
        <v>Maize</v>
      </c>
      <c r="R40" s="9" t="str">
        <f>INDEX(Districts!$B$2:$B$6,MATCH(C40,Districts!$A$2:$A$6,0))</f>
        <v>Techiman</v>
      </c>
    </row>
    <row r="41" spans="1:18">
      <c r="A41" t="s">
        <v>106</v>
      </c>
      <c r="B41" s="4">
        <v>45991</v>
      </c>
      <c r="C41" t="s">
        <v>49</v>
      </c>
      <c r="D41" t="s">
        <v>33</v>
      </c>
      <c r="E41">
        <v>9.9</v>
      </c>
      <c r="F41">
        <v>17039.400000000001</v>
      </c>
      <c r="G41">
        <v>1144.2</v>
      </c>
      <c r="H41">
        <v>15895.2</v>
      </c>
      <c r="I41" t="s">
        <v>65</v>
      </c>
      <c r="J41">
        <v>6.54</v>
      </c>
      <c r="K41">
        <v>16321.46</v>
      </c>
      <c r="L41">
        <f t="shared" si="0"/>
        <v>1721.1515151515152</v>
      </c>
      <c r="M41" s="8">
        <f t="shared" si="1"/>
        <v>6.7150251769428501E-2</v>
      </c>
      <c r="N41" s="10">
        <f t="shared" si="2"/>
        <v>103954.60800000001</v>
      </c>
      <c r="O41" s="10">
        <f t="shared" si="3"/>
        <v>87633.148000000016</v>
      </c>
      <c r="P41" s="9" t="str">
        <f t="shared" si="4"/>
        <v>OK</v>
      </c>
      <c r="Q41" s="9" t="str">
        <f>INDEX(Crops!$B$2:$B$7,MATCH(D41,Crops!$A$2:$A$7,0))</f>
        <v>Rice</v>
      </c>
      <c r="R41" s="9" t="str">
        <f>INDEX(Districts!$B$2:$B$6,MATCH(C41,Districts!$A$2:$A$6,0))</f>
        <v>Tamale Metro</v>
      </c>
    </row>
    <row r="42" spans="1:18">
      <c r="A42" t="s">
        <v>107</v>
      </c>
      <c r="B42" s="4">
        <v>46048</v>
      </c>
      <c r="C42" t="s">
        <v>45</v>
      </c>
      <c r="D42" t="s">
        <v>41</v>
      </c>
      <c r="E42">
        <v>14.8</v>
      </c>
      <c r="F42">
        <v>96602.5</v>
      </c>
      <c r="G42">
        <v>14579.7</v>
      </c>
      <c r="H42">
        <v>82022.8</v>
      </c>
      <c r="I42" t="s">
        <v>77</v>
      </c>
      <c r="J42">
        <v>2.54</v>
      </c>
      <c r="K42">
        <v>13777.98</v>
      </c>
      <c r="L42">
        <f t="shared" si="0"/>
        <v>6527.1959459459458</v>
      </c>
      <c r="M42" s="8">
        <f t="shared" si="1"/>
        <v>0.15092466551072695</v>
      </c>
      <c r="N42" s="10">
        <f t="shared" si="2"/>
        <v>208337.91200000001</v>
      </c>
      <c r="O42" s="10">
        <f t="shared" si="3"/>
        <v>194559.932</v>
      </c>
      <c r="P42" s="9" t="str">
        <f t="shared" si="4"/>
        <v>OK</v>
      </c>
      <c r="Q42" s="9" t="str">
        <f>INDEX(Crops!$B$2:$B$7,MATCH(D42,Crops!$A$2:$A$7,0))</f>
        <v>Cassava</v>
      </c>
      <c r="R42" s="9" t="str">
        <f>INDEX(Districts!$B$2:$B$6,MATCH(C42,Districts!$A$2:$A$6,0))</f>
        <v>Ejura</v>
      </c>
    </row>
    <row r="43" spans="1:18">
      <c r="A43" t="s">
        <v>79</v>
      </c>
      <c r="B43" s="4">
        <v>46151</v>
      </c>
      <c r="C43" t="s">
        <v>47</v>
      </c>
      <c r="D43" t="s">
        <v>35</v>
      </c>
      <c r="E43">
        <v>10.199999999999999</v>
      </c>
      <c r="F43">
        <v>71903.399999999994</v>
      </c>
      <c r="G43">
        <v>6902.9</v>
      </c>
      <c r="H43">
        <v>65000.5</v>
      </c>
      <c r="I43" t="s">
        <v>70</v>
      </c>
      <c r="J43">
        <v>7</v>
      </c>
      <c r="K43">
        <v>12168.69</v>
      </c>
      <c r="L43">
        <f t="shared" si="0"/>
        <v>7049.3529411764703</v>
      </c>
      <c r="M43" s="8">
        <f t="shared" si="1"/>
        <v>9.6002414350364523E-2</v>
      </c>
      <c r="N43" s="10">
        <f t="shared" si="2"/>
        <v>455003.5</v>
      </c>
      <c r="O43" s="10">
        <f t="shared" si="3"/>
        <v>442834.81</v>
      </c>
      <c r="P43" s="9" t="str">
        <f t="shared" si="4"/>
        <v>OK</v>
      </c>
      <c r="Q43" s="9" t="str">
        <f>INDEX(Crops!$B$2:$B$7,MATCH(D43,Crops!$A$2:$A$7,0))</f>
        <v>Tomato</v>
      </c>
      <c r="R43" s="9" t="str">
        <f>INDEX(Districts!$B$2:$B$6,MATCH(C43,Districts!$A$2:$A$6,0))</f>
        <v>Techiman</v>
      </c>
    </row>
    <row r="44" spans="1:18">
      <c r="A44" t="s">
        <v>108</v>
      </c>
      <c r="B44" s="4">
        <v>46051</v>
      </c>
      <c r="C44" t="s">
        <v>51</v>
      </c>
      <c r="D44" t="s">
        <v>39</v>
      </c>
      <c r="E44">
        <v>14.7</v>
      </c>
      <c r="F44">
        <v>28520.1</v>
      </c>
      <c r="G44">
        <v>3960</v>
      </c>
      <c r="H44">
        <v>24560.1</v>
      </c>
      <c r="I44" t="s">
        <v>65</v>
      </c>
      <c r="J44">
        <v>4.5</v>
      </c>
      <c r="K44">
        <v>23654.05</v>
      </c>
      <c r="L44">
        <f t="shared" si="0"/>
        <v>1940.1428571428571</v>
      </c>
      <c r="M44" s="8">
        <f t="shared" si="1"/>
        <v>0.13884944302439334</v>
      </c>
      <c r="N44" s="10">
        <f t="shared" si="2"/>
        <v>110520.45</v>
      </c>
      <c r="O44" s="10">
        <f t="shared" si="3"/>
        <v>86866.4</v>
      </c>
      <c r="P44" s="9" t="str">
        <f t="shared" si="4"/>
        <v>OK</v>
      </c>
      <c r="Q44" s="9" t="str">
        <f>INDEX(Crops!$B$2:$B$7,MATCH(D44,Crops!$A$2:$A$7,0))</f>
        <v>Soybean</v>
      </c>
      <c r="R44" s="9" t="str">
        <f>INDEX(Districts!$B$2:$B$6,MATCH(C44,Districts!$A$2:$A$6,0))</f>
        <v>Kintampo</v>
      </c>
    </row>
    <row r="45" spans="1:18">
      <c r="A45" t="s">
        <v>75</v>
      </c>
      <c r="B45" s="4">
        <v>46094</v>
      </c>
      <c r="C45" t="s">
        <v>47</v>
      </c>
      <c r="D45" t="s">
        <v>35</v>
      </c>
      <c r="E45">
        <v>12.6</v>
      </c>
      <c r="F45">
        <v>88116.1</v>
      </c>
      <c r="G45">
        <v>10493.9</v>
      </c>
      <c r="H45">
        <v>77622.2</v>
      </c>
      <c r="I45" t="s">
        <v>70</v>
      </c>
      <c r="J45">
        <v>6.19</v>
      </c>
      <c r="K45">
        <v>22479.17</v>
      </c>
      <c r="L45">
        <f t="shared" si="0"/>
        <v>6993.3412698412703</v>
      </c>
      <c r="M45" s="8">
        <f t="shared" si="1"/>
        <v>0.11909174373355152</v>
      </c>
      <c r="N45" s="10">
        <f t="shared" si="2"/>
        <v>480481.41800000001</v>
      </c>
      <c r="O45" s="10">
        <f t="shared" si="3"/>
        <v>458002.24800000002</v>
      </c>
      <c r="P45" s="9" t="str">
        <f t="shared" si="4"/>
        <v>OK</v>
      </c>
      <c r="Q45" s="9" t="str">
        <f>INDEX(Crops!$B$2:$B$7,MATCH(D45,Crops!$A$2:$A$7,0))</f>
        <v>Tomato</v>
      </c>
      <c r="R45" s="9" t="str">
        <f>INDEX(Districts!$B$2:$B$6,MATCH(C45,Districts!$A$2:$A$6,0))</f>
        <v>Techiman</v>
      </c>
    </row>
    <row r="46" spans="1:18">
      <c r="A46" t="s">
        <v>109</v>
      </c>
      <c r="B46" s="4">
        <v>46036</v>
      </c>
      <c r="C46" t="s">
        <v>51</v>
      </c>
      <c r="D46" t="s">
        <v>31</v>
      </c>
      <c r="E46">
        <v>7.8</v>
      </c>
      <c r="F46">
        <v>9282.1</v>
      </c>
      <c r="G46">
        <v>519.29999999999995</v>
      </c>
      <c r="H46">
        <v>8762.7999999999993</v>
      </c>
      <c r="I46" t="s">
        <v>70</v>
      </c>
      <c r="J46">
        <v>3.58</v>
      </c>
      <c r="K46">
        <v>12499.58</v>
      </c>
      <c r="L46">
        <f t="shared" si="0"/>
        <v>1190.0128205128206</v>
      </c>
      <c r="M46" s="8">
        <f t="shared" si="1"/>
        <v>5.5946391441591872E-2</v>
      </c>
      <c r="N46" s="10">
        <f t="shared" si="2"/>
        <v>31370.823999999997</v>
      </c>
      <c r="O46" s="10">
        <f t="shared" si="3"/>
        <v>18871.243999999999</v>
      </c>
      <c r="P46" s="9" t="str">
        <f t="shared" si="4"/>
        <v>OK</v>
      </c>
      <c r="Q46" s="9" t="str">
        <f>INDEX(Crops!$B$2:$B$7,MATCH(D46,Crops!$A$2:$A$7,0))</f>
        <v>Maize</v>
      </c>
      <c r="R46" s="9" t="str">
        <f>INDEX(Districts!$B$2:$B$6,MATCH(C46,Districts!$A$2:$A$6,0))</f>
        <v>Kintampo</v>
      </c>
    </row>
    <row r="47" spans="1:18">
      <c r="A47" t="s">
        <v>96</v>
      </c>
      <c r="B47" s="4">
        <v>46145</v>
      </c>
      <c r="C47" t="s">
        <v>53</v>
      </c>
      <c r="D47" t="s">
        <v>39</v>
      </c>
      <c r="E47">
        <v>9.4</v>
      </c>
      <c r="F47">
        <v>12288.5</v>
      </c>
      <c r="G47">
        <v>1562.8</v>
      </c>
      <c r="H47">
        <v>10725.7</v>
      </c>
      <c r="I47" t="s">
        <v>65</v>
      </c>
      <c r="J47">
        <v>5.34</v>
      </c>
      <c r="K47">
        <v>15614.01</v>
      </c>
      <c r="L47">
        <f t="shared" si="0"/>
        <v>1307.2872340425531</v>
      </c>
      <c r="M47" s="8">
        <f t="shared" si="1"/>
        <v>0.1271758147861822</v>
      </c>
      <c r="N47" s="10">
        <f t="shared" si="2"/>
        <v>57275.238000000005</v>
      </c>
      <c r="O47" s="10">
        <f t="shared" si="3"/>
        <v>41661.228000000003</v>
      </c>
      <c r="P47" s="9" t="str">
        <f t="shared" si="4"/>
        <v>OK</v>
      </c>
      <c r="Q47" s="9" t="str">
        <f>INDEX(Crops!$B$2:$B$7,MATCH(D47,Crops!$A$2:$A$7,0))</f>
        <v>Soybean</v>
      </c>
      <c r="R47" s="9" t="str">
        <f>INDEX(Districts!$B$2:$B$6,MATCH(C47,Districts!$A$2:$A$6,0))</f>
        <v>Hohoe</v>
      </c>
    </row>
    <row r="48" spans="1:18">
      <c r="A48" t="s">
        <v>110</v>
      </c>
      <c r="B48" s="4">
        <v>46116</v>
      </c>
      <c r="C48" t="s">
        <v>53</v>
      </c>
      <c r="D48" t="s">
        <v>31</v>
      </c>
      <c r="E48">
        <v>14.7</v>
      </c>
      <c r="F48">
        <v>35237.1</v>
      </c>
      <c r="G48">
        <v>3896.2</v>
      </c>
      <c r="H48">
        <v>31340.9</v>
      </c>
      <c r="I48" t="s">
        <v>65</v>
      </c>
      <c r="J48">
        <v>2.92</v>
      </c>
      <c r="K48">
        <v>17264.919999999998</v>
      </c>
      <c r="L48">
        <f t="shared" si="0"/>
        <v>2397.0816326530612</v>
      </c>
      <c r="M48" s="8">
        <f t="shared" si="1"/>
        <v>0.1105709607203771</v>
      </c>
      <c r="N48" s="10">
        <f t="shared" si="2"/>
        <v>91515.428</v>
      </c>
      <c r="O48" s="10">
        <f t="shared" si="3"/>
        <v>74250.508000000002</v>
      </c>
      <c r="P48" s="9" t="str">
        <f t="shared" si="4"/>
        <v>OK</v>
      </c>
      <c r="Q48" s="9" t="str">
        <f>INDEX(Crops!$B$2:$B$7,MATCH(D48,Crops!$A$2:$A$7,0))</f>
        <v>Maize</v>
      </c>
      <c r="R48" s="9" t="str">
        <f>INDEX(Districts!$B$2:$B$6,MATCH(C48,Districts!$A$2:$A$6,0))</f>
        <v>Hohoe</v>
      </c>
    </row>
    <row r="49" spans="1:18">
      <c r="A49" t="s">
        <v>111</v>
      </c>
      <c r="B49" s="4">
        <v>45964</v>
      </c>
      <c r="C49" t="s">
        <v>45</v>
      </c>
      <c r="D49" t="s">
        <v>39</v>
      </c>
      <c r="E49">
        <v>2.7</v>
      </c>
      <c r="F49">
        <v>4689.6000000000004</v>
      </c>
      <c r="G49">
        <v>446.2</v>
      </c>
      <c r="H49">
        <v>4243.3999999999996</v>
      </c>
      <c r="I49" t="s">
        <v>77</v>
      </c>
      <c r="J49">
        <v>4.03</v>
      </c>
      <c r="K49">
        <v>3826.38</v>
      </c>
      <c r="L49">
        <f t="shared" si="0"/>
        <v>1736.8888888888889</v>
      </c>
      <c r="M49" s="8">
        <f t="shared" si="1"/>
        <v>9.514670760832479E-2</v>
      </c>
      <c r="N49" s="10">
        <f t="shared" si="2"/>
        <v>17100.901999999998</v>
      </c>
      <c r="O49" s="10">
        <f t="shared" si="3"/>
        <v>13274.521999999997</v>
      </c>
      <c r="P49" s="9" t="str">
        <f t="shared" si="4"/>
        <v>OK</v>
      </c>
      <c r="Q49" s="9" t="str">
        <f>INDEX(Crops!$B$2:$B$7,MATCH(D49,Crops!$A$2:$A$7,0))</f>
        <v>Soybean</v>
      </c>
      <c r="R49" s="9" t="str">
        <f>INDEX(Districts!$B$2:$B$6,MATCH(C49,Districts!$A$2:$A$6,0))</f>
        <v>Ejura</v>
      </c>
    </row>
    <row r="50" spans="1:18">
      <c r="A50" t="s">
        <v>112</v>
      </c>
      <c r="B50" s="4">
        <v>46181</v>
      </c>
      <c r="C50" t="s">
        <v>47</v>
      </c>
      <c r="D50" t="s">
        <v>33</v>
      </c>
      <c r="E50">
        <v>1.4</v>
      </c>
      <c r="F50">
        <v>3458.5</v>
      </c>
      <c r="G50">
        <v>529.29999999999995</v>
      </c>
      <c r="H50">
        <v>2929.2</v>
      </c>
      <c r="I50" t="s">
        <v>70</v>
      </c>
      <c r="J50">
        <v>5.73</v>
      </c>
      <c r="K50">
        <v>1696.07</v>
      </c>
      <c r="L50">
        <f t="shared" si="0"/>
        <v>2470.3571428571431</v>
      </c>
      <c r="M50" s="8">
        <f t="shared" si="1"/>
        <v>0.15304322683244179</v>
      </c>
      <c r="N50" s="10">
        <f t="shared" si="2"/>
        <v>16784.315999999999</v>
      </c>
      <c r="O50" s="10">
        <f t="shared" si="3"/>
        <v>15088.245999999999</v>
      </c>
      <c r="P50" s="9" t="str">
        <f t="shared" si="4"/>
        <v>OK</v>
      </c>
      <c r="Q50" s="9" t="str">
        <f>INDEX(Crops!$B$2:$B$7,MATCH(D50,Crops!$A$2:$A$7,0))</f>
        <v>Rice</v>
      </c>
      <c r="R50" s="9" t="str">
        <f>INDEX(Districts!$B$2:$B$6,MATCH(C50,Districts!$A$2:$A$6,0))</f>
        <v>Techiman</v>
      </c>
    </row>
    <row r="51" spans="1:18">
      <c r="A51" t="s">
        <v>113</v>
      </c>
      <c r="B51" s="4">
        <v>45866</v>
      </c>
      <c r="C51" t="s">
        <v>51</v>
      </c>
      <c r="D51" t="s">
        <v>31</v>
      </c>
      <c r="E51">
        <v>11.4</v>
      </c>
      <c r="F51">
        <v>16399.7</v>
      </c>
      <c r="G51">
        <v>1133.5</v>
      </c>
      <c r="H51">
        <v>15266.2</v>
      </c>
      <c r="I51" t="s">
        <v>70</v>
      </c>
      <c r="J51">
        <v>3.16</v>
      </c>
      <c r="K51">
        <v>9250.7900000000009</v>
      </c>
      <c r="L51">
        <f t="shared" si="0"/>
        <v>1438.5701754385966</v>
      </c>
      <c r="M51" s="8">
        <f t="shared" si="1"/>
        <v>6.9117117996060906E-2</v>
      </c>
      <c r="N51" s="10">
        <f t="shared" si="2"/>
        <v>48241.192000000003</v>
      </c>
      <c r="O51" s="10">
        <f t="shared" si="3"/>
        <v>38990.402000000002</v>
      </c>
      <c r="P51" s="9" t="str">
        <f t="shared" si="4"/>
        <v>OK</v>
      </c>
      <c r="Q51" s="9" t="str">
        <f>INDEX(Crops!$B$2:$B$7,MATCH(D51,Crops!$A$2:$A$7,0))</f>
        <v>Maize</v>
      </c>
      <c r="R51" s="9" t="str">
        <f>INDEX(Districts!$B$2:$B$6,MATCH(C51,Districts!$A$2:$A$6,0))</f>
        <v>Kintampo</v>
      </c>
    </row>
    <row r="52" spans="1:18">
      <c r="A52" t="s">
        <v>114</v>
      </c>
      <c r="B52" s="4">
        <v>45858</v>
      </c>
      <c r="C52" t="s">
        <v>47</v>
      </c>
      <c r="D52" t="s">
        <v>33</v>
      </c>
      <c r="E52">
        <v>7.5</v>
      </c>
      <c r="F52">
        <v>14758.8</v>
      </c>
      <c r="G52">
        <v>2198.6</v>
      </c>
      <c r="H52">
        <v>12560.2</v>
      </c>
      <c r="I52" t="s">
        <v>77</v>
      </c>
      <c r="J52">
        <v>6.59</v>
      </c>
      <c r="K52">
        <v>8238.25</v>
      </c>
      <c r="L52">
        <f t="shared" si="0"/>
        <v>1967.84</v>
      </c>
      <c r="M52" s="8">
        <f t="shared" si="1"/>
        <v>0.14896875084695232</v>
      </c>
      <c r="N52" s="10">
        <f t="shared" si="2"/>
        <v>82771.718000000008</v>
      </c>
      <c r="O52" s="10">
        <f t="shared" si="3"/>
        <v>74533.468000000008</v>
      </c>
      <c r="P52" s="9" t="str">
        <f t="shared" si="4"/>
        <v>OK</v>
      </c>
      <c r="Q52" s="9" t="str">
        <f>INDEX(Crops!$B$2:$B$7,MATCH(D52,Crops!$A$2:$A$7,0))</f>
        <v>Rice</v>
      </c>
      <c r="R52" s="9" t="str">
        <f>INDEX(Districts!$B$2:$B$6,MATCH(C52,Districts!$A$2:$A$6,0))</f>
        <v>Techiman</v>
      </c>
    </row>
    <row r="53" spans="1:18">
      <c r="A53" t="s">
        <v>115</v>
      </c>
      <c r="B53" s="4">
        <v>46160</v>
      </c>
      <c r="C53" t="s">
        <v>47</v>
      </c>
      <c r="D53" t="s">
        <v>39</v>
      </c>
      <c r="E53">
        <v>10.4</v>
      </c>
      <c r="F53">
        <v>13805.3</v>
      </c>
      <c r="G53">
        <v>2144.6</v>
      </c>
      <c r="H53">
        <v>11660.7</v>
      </c>
      <c r="I53" t="s">
        <v>67</v>
      </c>
      <c r="J53">
        <v>5.34</v>
      </c>
      <c r="K53">
        <v>6785.53</v>
      </c>
      <c r="L53">
        <f t="shared" si="0"/>
        <v>1327.4326923076922</v>
      </c>
      <c r="M53" s="8">
        <f t="shared" si="1"/>
        <v>0.15534613517996712</v>
      </c>
      <c r="N53" s="10">
        <f t="shared" si="2"/>
        <v>62268.137999999999</v>
      </c>
      <c r="O53" s="10">
        <f t="shared" si="3"/>
        <v>55482.608</v>
      </c>
      <c r="P53" s="9" t="str">
        <f t="shared" si="4"/>
        <v>OK</v>
      </c>
      <c r="Q53" s="9" t="str">
        <f>INDEX(Crops!$B$2:$B$7,MATCH(D53,Crops!$A$2:$A$7,0))</f>
        <v>Soybean</v>
      </c>
      <c r="R53" s="9" t="str">
        <f>INDEX(Districts!$B$2:$B$6,MATCH(C53,Districts!$A$2:$A$6,0))</f>
        <v>Techiman</v>
      </c>
    </row>
    <row r="54" spans="1:18">
      <c r="A54" t="s">
        <v>116</v>
      </c>
      <c r="B54" s="4">
        <v>46033</v>
      </c>
      <c r="C54" t="s">
        <v>49</v>
      </c>
      <c r="D54" t="s">
        <v>31</v>
      </c>
      <c r="E54">
        <v>4.8</v>
      </c>
      <c r="F54">
        <v>7109.2</v>
      </c>
      <c r="G54">
        <v>407.3</v>
      </c>
      <c r="H54">
        <v>6701.9</v>
      </c>
      <c r="I54" t="s">
        <v>70</v>
      </c>
      <c r="J54">
        <v>3.8</v>
      </c>
      <c r="K54">
        <v>8185.27</v>
      </c>
      <c r="L54">
        <f t="shared" si="0"/>
        <v>1481.0833333333333</v>
      </c>
      <c r="M54" s="8">
        <f t="shared" si="1"/>
        <v>5.7291959714173189E-2</v>
      </c>
      <c r="N54" s="10">
        <f t="shared" si="2"/>
        <v>25467.219999999998</v>
      </c>
      <c r="O54" s="10">
        <f t="shared" si="3"/>
        <v>17281.949999999997</v>
      </c>
      <c r="P54" s="9" t="str">
        <f t="shared" si="4"/>
        <v>OK</v>
      </c>
      <c r="Q54" s="9" t="str">
        <f>INDEX(Crops!$B$2:$B$7,MATCH(D54,Crops!$A$2:$A$7,0))</f>
        <v>Maize</v>
      </c>
      <c r="R54" s="9" t="str">
        <f>INDEX(Districts!$B$2:$B$6,MATCH(C54,Districts!$A$2:$A$6,0))</f>
        <v>Tamale Metro</v>
      </c>
    </row>
    <row r="55" spans="1:18">
      <c r="A55" t="s">
        <v>117</v>
      </c>
      <c r="B55" s="4">
        <v>46095</v>
      </c>
      <c r="C55" t="s">
        <v>53</v>
      </c>
      <c r="D55" t="s">
        <v>39</v>
      </c>
      <c r="E55">
        <v>13.5</v>
      </c>
      <c r="F55">
        <v>27203.8</v>
      </c>
      <c r="G55">
        <v>770.1</v>
      </c>
      <c r="H55">
        <v>26433.7</v>
      </c>
      <c r="I55" t="s">
        <v>65</v>
      </c>
      <c r="J55">
        <v>4.9400000000000004</v>
      </c>
      <c r="K55">
        <v>16004.46</v>
      </c>
      <c r="L55">
        <f t="shared" si="0"/>
        <v>2015.0962962962963</v>
      </c>
      <c r="M55" s="8">
        <f t="shared" si="1"/>
        <v>2.8308545129724524E-2</v>
      </c>
      <c r="N55" s="10">
        <f t="shared" si="2"/>
        <v>130582.47800000002</v>
      </c>
      <c r="O55" s="10">
        <f t="shared" si="3"/>
        <v>114578.01800000001</v>
      </c>
      <c r="P55" s="9" t="str">
        <f t="shared" si="4"/>
        <v>OK</v>
      </c>
      <c r="Q55" s="9" t="str">
        <f>INDEX(Crops!$B$2:$B$7,MATCH(D55,Crops!$A$2:$A$7,0))</f>
        <v>Soybean</v>
      </c>
      <c r="R55" s="9" t="str">
        <f>INDEX(Districts!$B$2:$B$6,MATCH(C55,Districts!$A$2:$A$6,0))</f>
        <v>Hohoe</v>
      </c>
    </row>
    <row r="56" spans="1:18">
      <c r="A56" t="s">
        <v>118</v>
      </c>
      <c r="B56" s="4">
        <v>46203</v>
      </c>
      <c r="C56" t="s">
        <v>45</v>
      </c>
      <c r="D56" t="s">
        <v>35</v>
      </c>
      <c r="E56">
        <v>2.5</v>
      </c>
      <c r="F56">
        <v>18786.7</v>
      </c>
      <c r="G56">
        <v>1786</v>
      </c>
      <c r="H56">
        <v>17000.7</v>
      </c>
      <c r="I56" t="s">
        <v>77</v>
      </c>
      <c r="J56">
        <v>6.85</v>
      </c>
      <c r="K56">
        <v>3850.6</v>
      </c>
      <c r="L56">
        <f t="shared" si="0"/>
        <v>7514.68</v>
      </c>
      <c r="M56" s="8">
        <f t="shared" si="1"/>
        <v>9.5067255026162117E-2</v>
      </c>
      <c r="N56" s="10">
        <f t="shared" si="2"/>
        <v>116454.795</v>
      </c>
      <c r="O56" s="10">
        <f t="shared" si="3"/>
        <v>112604.19499999999</v>
      </c>
      <c r="P56" s="9" t="str">
        <f t="shared" si="4"/>
        <v>OK</v>
      </c>
      <c r="Q56" s="9" t="str">
        <f>INDEX(Crops!$B$2:$B$7,MATCH(D56,Crops!$A$2:$A$7,0))</f>
        <v>Tomato</v>
      </c>
      <c r="R56" s="9" t="str">
        <f>INDEX(Districts!$B$2:$B$6,MATCH(C56,Districts!$A$2:$A$6,0))</f>
        <v>Ejura</v>
      </c>
    </row>
    <row r="57" spans="1:18">
      <c r="A57" t="s">
        <v>119</v>
      </c>
      <c r="B57" s="4">
        <v>45939</v>
      </c>
      <c r="C57" t="s">
        <v>51</v>
      </c>
      <c r="D57" t="s">
        <v>37</v>
      </c>
      <c r="E57">
        <v>2.1</v>
      </c>
      <c r="F57">
        <v>13412</v>
      </c>
      <c r="G57">
        <v>478.2</v>
      </c>
      <c r="H57">
        <v>12933.8</v>
      </c>
      <c r="I57" t="s">
        <v>77</v>
      </c>
      <c r="J57">
        <v>8.1999999999999993</v>
      </c>
      <c r="K57">
        <v>3010.88</v>
      </c>
      <c r="L57">
        <f t="shared" si="0"/>
        <v>6386.6666666666661</v>
      </c>
      <c r="M57" s="8">
        <f t="shared" si="1"/>
        <v>3.5654637637936179E-2</v>
      </c>
      <c r="N57" s="10">
        <f t="shared" si="2"/>
        <v>106057.15999999999</v>
      </c>
      <c r="O57" s="10">
        <f t="shared" si="3"/>
        <v>103046.27999999998</v>
      </c>
      <c r="P57" s="9" t="str">
        <f t="shared" si="4"/>
        <v>OK</v>
      </c>
      <c r="Q57" s="9" t="str">
        <f>INDEX(Crops!$B$2:$B$7,MATCH(D57,Crops!$A$2:$A$7,0))</f>
        <v>Pepper</v>
      </c>
      <c r="R57" s="9" t="str">
        <f>INDEX(Districts!$B$2:$B$6,MATCH(C57,Districts!$A$2:$A$6,0))</f>
        <v>Kintampo</v>
      </c>
    </row>
    <row r="58" spans="1:18">
      <c r="A58" t="s">
        <v>120</v>
      </c>
      <c r="B58" s="4">
        <v>45990</v>
      </c>
      <c r="C58" t="s">
        <v>51</v>
      </c>
      <c r="D58" t="s">
        <v>37</v>
      </c>
      <c r="E58">
        <v>4.5999999999999996</v>
      </c>
      <c r="F58">
        <v>23960.5</v>
      </c>
      <c r="G58">
        <v>3347.8</v>
      </c>
      <c r="H58">
        <v>20612.7</v>
      </c>
      <c r="I58" t="s">
        <v>70</v>
      </c>
      <c r="J58">
        <v>9.44</v>
      </c>
      <c r="K58">
        <v>7303.61</v>
      </c>
      <c r="L58">
        <f t="shared" si="0"/>
        <v>5208.804347826087</v>
      </c>
      <c r="M58" s="8">
        <f t="shared" si="1"/>
        <v>0.1397216251747668</v>
      </c>
      <c r="N58" s="10">
        <f t="shared" si="2"/>
        <v>194583.88800000001</v>
      </c>
      <c r="O58" s="10">
        <f t="shared" si="3"/>
        <v>187280.27800000002</v>
      </c>
      <c r="P58" s="9" t="str">
        <f t="shared" si="4"/>
        <v>OK</v>
      </c>
      <c r="Q58" s="9" t="str">
        <f>INDEX(Crops!$B$2:$B$7,MATCH(D58,Crops!$A$2:$A$7,0))</f>
        <v>Pepper</v>
      </c>
      <c r="R58" s="9" t="str">
        <f>INDEX(Districts!$B$2:$B$6,MATCH(C58,Districts!$A$2:$A$6,0))</f>
        <v>Kintampo</v>
      </c>
    </row>
    <row r="59" spans="1:18">
      <c r="A59" t="s">
        <v>121</v>
      </c>
      <c r="B59" s="4">
        <v>46067</v>
      </c>
      <c r="C59" t="s">
        <v>45</v>
      </c>
      <c r="D59" t="s">
        <v>33</v>
      </c>
      <c r="E59">
        <v>3.4</v>
      </c>
      <c r="F59">
        <v>9396.1</v>
      </c>
      <c r="G59">
        <v>1133.3</v>
      </c>
      <c r="H59">
        <v>8262.7999999999993</v>
      </c>
      <c r="I59" t="s">
        <v>70</v>
      </c>
      <c r="J59">
        <v>6.87</v>
      </c>
      <c r="K59">
        <v>2360.56</v>
      </c>
      <c r="L59">
        <f t="shared" si="0"/>
        <v>2763.5588235294122</v>
      </c>
      <c r="M59" s="8">
        <f t="shared" si="1"/>
        <v>0.12061387171273187</v>
      </c>
      <c r="N59" s="10">
        <f t="shared" si="2"/>
        <v>56765.435999999994</v>
      </c>
      <c r="O59" s="10">
        <f t="shared" si="3"/>
        <v>54404.875999999997</v>
      </c>
      <c r="P59" s="9" t="str">
        <f t="shared" si="4"/>
        <v>OK</v>
      </c>
      <c r="Q59" s="9" t="str">
        <f>INDEX(Crops!$B$2:$B$7,MATCH(D59,Crops!$A$2:$A$7,0))</f>
        <v>Rice</v>
      </c>
      <c r="R59" s="9" t="str">
        <f>INDEX(Districts!$B$2:$B$6,MATCH(C59,Districts!$A$2:$A$6,0))</f>
        <v>Ejura</v>
      </c>
    </row>
    <row r="60" spans="1:18">
      <c r="A60" t="s">
        <v>122</v>
      </c>
      <c r="B60" s="4">
        <v>46057</v>
      </c>
      <c r="C60" t="s">
        <v>49</v>
      </c>
      <c r="D60" t="s">
        <v>31</v>
      </c>
      <c r="E60">
        <v>12.2</v>
      </c>
      <c r="F60">
        <v>25001.1</v>
      </c>
      <c r="G60">
        <v>805.9</v>
      </c>
      <c r="H60">
        <v>24195.200000000001</v>
      </c>
      <c r="I60" t="s">
        <v>67</v>
      </c>
      <c r="J60">
        <v>3.09</v>
      </c>
      <c r="K60">
        <v>12512.82</v>
      </c>
      <c r="L60">
        <f t="shared" si="0"/>
        <v>2049.2704918032787</v>
      </c>
      <c r="M60" s="8">
        <f t="shared" si="1"/>
        <v>3.2234581678406149E-2</v>
      </c>
      <c r="N60" s="10">
        <f t="shared" si="2"/>
        <v>74763.168000000005</v>
      </c>
      <c r="O60" s="10">
        <f t="shared" si="3"/>
        <v>62250.348000000005</v>
      </c>
      <c r="P60" s="9" t="str">
        <f t="shared" si="4"/>
        <v>OK</v>
      </c>
      <c r="Q60" s="9" t="str">
        <f>INDEX(Crops!$B$2:$B$7,MATCH(D60,Crops!$A$2:$A$7,0))</f>
        <v>Maize</v>
      </c>
      <c r="R60" s="9" t="str">
        <f>INDEX(Districts!$B$2:$B$6,MATCH(C60,Districts!$A$2:$A$6,0))</f>
        <v>Tamale Metro</v>
      </c>
    </row>
    <row r="61" spans="1:18">
      <c r="A61" t="s">
        <v>101</v>
      </c>
      <c r="B61" s="4">
        <v>45939</v>
      </c>
      <c r="C61" t="s">
        <v>49</v>
      </c>
      <c r="D61" t="s">
        <v>31</v>
      </c>
      <c r="E61">
        <v>3.8</v>
      </c>
      <c r="F61">
        <v>7146.4</v>
      </c>
      <c r="G61">
        <v>437.9</v>
      </c>
      <c r="H61">
        <v>6708.5</v>
      </c>
      <c r="I61" t="s">
        <v>70</v>
      </c>
      <c r="J61">
        <v>3.81</v>
      </c>
      <c r="K61">
        <v>4013</v>
      </c>
      <c r="L61">
        <f t="shared" si="0"/>
        <v>1880.6315789473683</v>
      </c>
      <c r="M61" s="8">
        <f t="shared" si="1"/>
        <v>6.1275607298779802E-2</v>
      </c>
      <c r="N61" s="10">
        <f t="shared" si="2"/>
        <v>25559.385000000002</v>
      </c>
      <c r="O61" s="10">
        <f t="shared" si="3"/>
        <v>21546.385000000002</v>
      </c>
      <c r="P61" s="9" t="str">
        <f t="shared" si="4"/>
        <v>OK</v>
      </c>
      <c r="Q61" s="9" t="str">
        <f>INDEX(Crops!$B$2:$B$7,MATCH(D61,Crops!$A$2:$A$7,0))</f>
        <v>Maize</v>
      </c>
      <c r="R61" s="9" t="str">
        <f>INDEX(Districts!$B$2:$B$6,MATCH(C61,Districts!$A$2:$A$6,0))</f>
        <v>Tamale Metro</v>
      </c>
    </row>
    <row r="62" spans="1:18">
      <c r="A62" t="s">
        <v>81</v>
      </c>
      <c r="B62" s="4">
        <v>46178</v>
      </c>
      <c r="C62" t="s">
        <v>53</v>
      </c>
      <c r="D62" t="s">
        <v>33</v>
      </c>
      <c r="E62">
        <v>14.1</v>
      </c>
      <c r="F62">
        <v>35942.9</v>
      </c>
      <c r="G62">
        <v>2112.9</v>
      </c>
      <c r="H62">
        <v>33830</v>
      </c>
      <c r="I62" t="s">
        <v>70</v>
      </c>
      <c r="J62">
        <v>6.61</v>
      </c>
      <c r="K62">
        <v>21007.31</v>
      </c>
      <c r="L62">
        <f t="shared" si="0"/>
        <v>2549.1418439716313</v>
      </c>
      <c r="M62" s="8">
        <f t="shared" si="1"/>
        <v>5.8784906059332995E-2</v>
      </c>
      <c r="N62" s="10">
        <f t="shared" si="2"/>
        <v>223616.30000000002</v>
      </c>
      <c r="O62" s="10">
        <f t="shared" si="3"/>
        <v>202608.99000000002</v>
      </c>
      <c r="P62" s="9" t="str">
        <f t="shared" si="4"/>
        <v>OK</v>
      </c>
      <c r="Q62" s="9" t="str">
        <f>INDEX(Crops!$B$2:$B$7,MATCH(D62,Crops!$A$2:$A$7,0))</f>
        <v>Rice</v>
      </c>
      <c r="R62" s="9" t="str">
        <f>INDEX(Districts!$B$2:$B$6,MATCH(C62,Districts!$A$2:$A$6,0))</f>
        <v>Hohoe</v>
      </c>
    </row>
    <row r="63" spans="1:18">
      <c r="A63" t="s">
        <v>123</v>
      </c>
      <c r="B63" s="4">
        <v>46041</v>
      </c>
      <c r="C63" t="s">
        <v>53</v>
      </c>
      <c r="D63" t="s">
        <v>37</v>
      </c>
      <c r="E63">
        <v>11.7</v>
      </c>
      <c r="F63">
        <v>56773</v>
      </c>
      <c r="G63">
        <v>1802.5</v>
      </c>
      <c r="H63">
        <v>54970.5</v>
      </c>
      <c r="I63" t="s">
        <v>77</v>
      </c>
      <c r="J63">
        <v>9.11</v>
      </c>
      <c r="K63">
        <v>16365.19</v>
      </c>
      <c r="L63">
        <f t="shared" si="0"/>
        <v>4852.393162393163</v>
      </c>
      <c r="M63" s="8">
        <f t="shared" si="1"/>
        <v>3.1749247001215369E-2</v>
      </c>
      <c r="N63" s="10">
        <f t="shared" si="2"/>
        <v>500781.25499999995</v>
      </c>
      <c r="O63" s="10">
        <f t="shared" si="3"/>
        <v>484416.06499999994</v>
      </c>
      <c r="P63" s="9" t="str">
        <f t="shared" si="4"/>
        <v>OK</v>
      </c>
      <c r="Q63" s="9" t="str">
        <f>INDEX(Crops!$B$2:$B$7,MATCH(D63,Crops!$A$2:$A$7,0))</f>
        <v>Pepper</v>
      </c>
      <c r="R63" s="9" t="str">
        <f>INDEX(Districts!$B$2:$B$6,MATCH(C63,Districts!$A$2:$A$6,0))</f>
        <v>Hohoe</v>
      </c>
    </row>
    <row r="64" spans="1:18">
      <c r="A64" t="s">
        <v>124</v>
      </c>
      <c r="B64" s="4">
        <v>45938</v>
      </c>
      <c r="C64" t="s">
        <v>45</v>
      </c>
      <c r="D64" t="s">
        <v>39</v>
      </c>
      <c r="E64">
        <v>14.4</v>
      </c>
      <c r="F64">
        <v>18762.900000000001</v>
      </c>
      <c r="G64">
        <v>480.3</v>
      </c>
      <c r="H64">
        <v>18282.599999999999</v>
      </c>
      <c r="I64" t="s">
        <v>77</v>
      </c>
      <c r="J64">
        <v>4.16</v>
      </c>
      <c r="K64">
        <v>22891.31</v>
      </c>
      <c r="L64">
        <f t="shared" si="0"/>
        <v>1302.9791666666667</v>
      </c>
      <c r="M64" s="8">
        <f t="shared" si="1"/>
        <v>2.5598388308843513E-2</v>
      </c>
      <c r="N64" s="10">
        <f t="shared" si="2"/>
        <v>76055.615999999995</v>
      </c>
      <c r="O64" s="10">
        <f t="shared" si="3"/>
        <v>53164.305999999997</v>
      </c>
      <c r="P64" s="9" t="str">
        <f t="shared" si="4"/>
        <v>OK</v>
      </c>
      <c r="Q64" s="9" t="str">
        <f>INDEX(Crops!$B$2:$B$7,MATCH(D64,Crops!$A$2:$A$7,0))</f>
        <v>Soybean</v>
      </c>
      <c r="R64" s="9" t="str">
        <f>INDEX(Districts!$B$2:$B$6,MATCH(C64,Districts!$A$2:$A$6,0))</f>
        <v>Ejura</v>
      </c>
    </row>
    <row r="65" spans="1:18">
      <c r="A65" t="s">
        <v>125</v>
      </c>
      <c r="B65" s="4">
        <v>45906</v>
      </c>
      <c r="C65" t="s">
        <v>45</v>
      </c>
      <c r="D65" t="s">
        <v>37</v>
      </c>
      <c r="E65">
        <v>2.1</v>
      </c>
      <c r="F65">
        <v>8858.2999999999993</v>
      </c>
      <c r="G65">
        <v>1069</v>
      </c>
      <c r="H65">
        <v>7789.3</v>
      </c>
      <c r="I65" t="s">
        <v>67</v>
      </c>
      <c r="J65">
        <v>8.93</v>
      </c>
      <c r="K65">
        <v>3734.6</v>
      </c>
      <c r="L65">
        <f t="shared" si="0"/>
        <v>4218.2380952380945</v>
      </c>
      <c r="M65" s="8">
        <f t="shared" si="1"/>
        <v>0.12067778241874853</v>
      </c>
      <c r="N65" s="10">
        <f t="shared" si="2"/>
        <v>69558.448999999993</v>
      </c>
      <c r="O65" s="10">
        <f t="shared" si="3"/>
        <v>65823.848999999987</v>
      </c>
      <c r="P65" s="9" t="str">
        <f t="shared" si="4"/>
        <v>OK</v>
      </c>
      <c r="Q65" s="9" t="str">
        <f>INDEX(Crops!$B$2:$B$7,MATCH(D65,Crops!$A$2:$A$7,0))</f>
        <v>Pepper</v>
      </c>
      <c r="R65" s="9" t="str">
        <f>INDEX(Districts!$B$2:$B$6,MATCH(C65,Districts!$A$2:$A$6,0))</f>
        <v>Ejura</v>
      </c>
    </row>
    <row r="66" spans="1:18">
      <c r="A66" t="s">
        <v>126</v>
      </c>
      <c r="B66" s="4">
        <v>45977</v>
      </c>
      <c r="C66" t="s">
        <v>51</v>
      </c>
      <c r="D66" t="s">
        <v>39</v>
      </c>
      <c r="E66">
        <v>1.4</v>
      </c>
      <c r="F66">
        <v>2466.1</v>
      </c>
      <c r="G66">
        <v>268.2</v>
      </c>
      <c r="H66">
        <v>2197.9</v>
      </c>
      <c r="I66" t="s">
        <v>65</v>
      </c>
      <c r="J66">
        <v>5.17</v>
      </c>
      <c r="K66">
        <v>2219.58</v>
      </c>
      <c r="L66">
        <f t="shared" ref="L66:L129" si="5">F66/E66</f>
        <v>1761.5</v>
      </c>
      <c r="M66" s="8">
        <f t="shared" ref="M66:M129" si="6">G66/F66</f>
        <v>0.10875471392076558</v>
      </c>
      <c r="N66" s="10">
        <f t="shared" ref="N66:N129" si="7">H66*J66</f>
        <v>11363.143</v>
      </c>
      <c r="O66" s="10">
        <f t="shared" ref="O66:O129" si="8">N66-K66</f>
        <v>9143.5630000000001</v>
      </c>
      <c r="P66" s="9" t="str">
        <f t="shared" ref="P66:P129" si="9">IF(H66+G66&gt;F66,"CHECK: Sold+Loss &gt; Harvest","OK")</f>
        <v>OK</v>
      </c>
      <c r="Q66" s="9" t="str">
        <f>INDEX(Crops!$B$2:$B$7,MATCH(D66,Crops!$A$2:$A$7,0))</f>
        <v>Soybean</v>
      </c>
      <c r="R66" s="9" t="str">
        <f>INDEX(Districts!$B$2:$B$6,MATCH(C66,Districts!$A$2:$A$6,0))</f>
        <v>Kintampo</v>
      </c>
    </row>
    <row r="67" spans="1:18">
      <c r="A67" t="s">
        <v>107</v>
      </c>
      <c r="B67" s="4">
        <v>46106</v>
      </c>
      <c r="C67" t="s">
        <v>45</v>
      </c>
      <c r="D67" t="s">
        <v>33</v>
      </c>
      <c r="E67">
        <v>8.6</v>
      </c>
      <c r="F67">
        <v>16866</v>
      </c>
      <c r="G67">
        <v>2005.3</v>
      </c>
      <c r="H67">
        <v>14860.7</v>
      </c>
      <c r="I67" t="s">
        <v>77</v>
      </c>
      <c r="J67">
        <v>5.27</v>
      </c>
      <c r="K67">
        <v>9715.42</v>
      </c>
      <c r="L67">
        <f t="shared" si="5"/>
        <v>1961.1627906976746</v>
      </c>
      <c r="M67" s="8">
        <f t="shared" si="6"/>
        <v>0.11889600379461639</v>
      </c>
      <c r="N67" s="10">
        <f t="shared" si="7"/>
        <v>78315.888999999996</v>
      </c>
      <c r="O67" s="10">
        <f t="shared" si="8"/>
        <v>68600.468999999997</v>
      </c>
      <c r="P67" s="9" t="str">
        <f t="shared" si="9"/>
        <v>OK</v>
      </c>
      <c r="Q67" s="9" t="str">
        <f>INDEX(Crops!$B$2:$B$7,MATCH(D67,Crops!$A$2:$A$7,0))</f>
        <v>Rice</v>
      </c>
      <c r="R67" s="9" t="str">
        <f>INDEX(Districts!$B$2:$B$6,MATCH(C67,Districts!$A$2:$A$6,0))</f>
        <v>Ejura</v>
      </c>
    </row>
    <row r="68" spans="1:18">
      <c r="A68" t="s">
        <v>127</v>
      </c>
      <c r="B68" s="4">
        <v>46200</v>
      </c>
      <c r="C68" t="s">
        <v>45</v>
      </c>
      <c r="D68" t="s">
        <v>35</v>
      </c>
      <c r="E68">
        <v>9.8000000000000007</v>
      </c>
      <c r="F68">
        <v>80551.199999999997</v>
      </c>
      <c r="G68">
        <v>10962.6</v>
      </c>
      <c r="H68">
        <v>69588.600000000006</v>
      </c>
      <c r="I68" t="s">
        <v>70</v>
      </c>
      <c r="J68">
        <v>7.1</v>
      </c>
      <c r="K68">
        <v>8282.5499999999993</v>
      </c>
      <c r="L68">
        <f t="shared" si="5"/>
        <v>8219.5102040816309</v>
      </c>
      <c r="M68" s="8">
        <f t="shared" si="6"/>
        <v>0.136094806781277</v>
      </c>
      <c r="N68" s="10">
        <f t="shared" si="7"/>
        <v>494079.06</v>
      </c>
      <c r="O68" s="10">
        <f t="shared" si="8"/>
        <v>485796.51</v>
      </c>
      <c r="P68" s="9" t="str">
        <f t="shared" si="9"/>
        <v>OK</v>
      </c>
      <c r="Q68" s="9" t="str">
        <f>INDEX(Crops!$B$2:$B$7,MATCH(D68,Crops!$A$2:$A$7,0))</f>
        <v>Tomato</v>
      </c>
      <c r="R68" s="9" t="str">
        <f>INDEX(Districts!$B$2:$B$6,MATCH(C68,Districts!$A$2:$A$6,0))</f>
        <v>Ejura</v>
      </c>
    </row>
    <row r="69" spans="1:18">
      <c r="A69" t="s">
        <v>86</v>
      </c>
      <c r="B69" s="4">
        <v>46110</v>
      </c>
      <c r="C69" t="s">
        <v>53</v>
      </c>
      <c r="D69" t="s">
        <v>41</v>
      </c>
      <c r="E69">
        <v>9.1</v>
      </c>
      <c r="F69">
        <v>48805.1</v>
      </c>
      <c r="G69">
        <v>1403.2</v>
      </c>
      <c r="H69">
        <v>47401.9</v>
      </c>
      <c r="I69" t="s">
        <v>70</v>
      </c>
      <c r="J69">
        <v>2.25</v>
      </c>
      <c r="K69">
        <v>12042.45</v>
      </c>
      <c r="L69">
        <f t="shared" si="5"/>
        <v>5363.197802197802</v>
      </c>
      <c r="M69" s="8">
        <f t="shared" si="6"/>
        <v>2.8751093635706108E-2</v>
      </c>
      <c r="N69" s="10">
        <f t="shared" si="7"/>
        <v>106654.27500000001</v>
      </c>
      <c r="O69" s="10">
        <f t="shared" si="8"/>
        <v>94611.825000000012</v>
      </c>
      <c r="P69" s="9" t="str">
        <f t="shared" si="9"/>
        <v>OK</v>
      </c>
      <c r="Q69" s="9" t="str">
        <f>INDEX(Crops!$B$2:$B$7,MATCH(D69,Crops!$A$2:$A$7,0))</f>
        <v>Cassava</v>
      </c>
      <c r="R69" s="9" t="str">
        <f>INDEX(Districts!$B$2:$B$6,MATCH(C69,Districts!$A$2:$A$6,0))</f>
        <v>Hohoe</v>
      </c>
    </row>
    <row r="70" spans="1:18">
      <c r="A70" t="s">
        <v>128</v>
      </c>
      <c r="B70" s="4">
        <v>45915</v>
      </c>
      <c r="C70" t="s">
        <v>49</v>
      </c>
      <c r="D70" t="s">
        <v>37</v>
      </c>
      <c r="E70">
        <v>1.6</v>
      </c>
      <c r="F70">
        <v>9349.9</v>
      </c>
      <c r="G70">
        <v>754.9</v>
      </c>
      <c r="H70">
        <v>8595</v>
      </c>
      <c r="I70" t="s">
        <v>70</v>
      </c>
      <c r="J70">
        <v>9.56</v>
      </c>
      <c r="K70">
        <v>1810.8</v>
      </c>
      <c r="L70">
        <f t="shared" si="5"/>
        <v>5843.6874999999991</v>
      </c>
      <c r="M70" s="8">
        <f t="shared" si="6"/>
        <v>8.0738831431352201E-2</v>
      </c>
      <c r="N70" s="10">
        <f t="shared" si="7"/>
        <v>82168.2</v>
      </c>
      <c r="O70" s="10">
        <f t="shared" si="8"/>
        <v>80357.399999999994</v>
      </c>
      <c r="P70" s="9" t="str">
        <f t="shared" si="9"/>
        <v>OK</v>
      </c>
      <c r="Q70" s="9" t="str">
        <f>INDEX(Crops!$B$2:$B$7,MATCH(D70,Crops!$A$2:$A$7,0))</f>
        <v>Pepper</v>
      </c>
      <c r="R70" s="9" t="str">
        <f>INDEX(Districts!$B$2:$B$6,MATCH(C70,Districts!$A$2:$A$6,0))</f>
        <v>Tamale Metro</v>
      </c>
    </row>
    <row r="71" spans="1:18">
      <c r="A71" t="s">
        <v>129</v>
      </c>
      <c r="B71" s="4">
        <v>46103</v>
      </c>
      <c r="C71" t="s">
        <v>45</v>
      </c>
      <c r="D71" t="s">
        <v>31</v>
      </c>
      <c r="E71">
        <v>2.2000000000000002</v>
      </c>
      <c r="F71">
        <v>4295.3</v>
      </c>
      <c r="G71">
        <v>380</v>
      </c>
      <c r="H71">
        <v>3915.3</v>
      </c>
      <c r="I71" t="s">
        <v>65</v>
      </c>
      <c r="J71">
        <v>3.07</v>
      </c>
      <c r="K71">
        <v>3355.13</v>
      </c>
      <c r="L71">
        <f t="shared" si="5"/>
        <v>1952.4090909090908</v>
      </c>
      <c r="M71" s="8">
        <f t="shared" si="6"/>
        <v>8.8468791469745997E-2</v>
      </c>
      <c r="N71" s="10">
        <f t="shared" si="7"/>
        <v>12019.971</v>
      </c>
      <c r="O71" s="10">
        <f t="shared" si="8"/>
        <v>8664.8410000000003</v>
      </c>
      <c r="P71" s="9" t="str">
        <f t="shared" si="9"/>
        <v>OK</v>
      </c>
      <c r="Q71" s="9" t="str">
        <f>INDEX(Crops!$B$2:$B$7,MATCH(D71,Crops!$A$2:$A$7,0))</f>
        <v>Maize</v>
      </c>
      <c r="R71" s="9" t="str">
        <f>INDEX(Districts!$B$2:$B$6,MATCH(C71,Districts!$A$2:$A$6,0))</f>
        <v>Ejura</v>
      </c>
    </row>
    <row r="72" spans="1:18">
      <c r="A72" t="s">
        <v>130</v>
      </c>
      <c r="B72" s="4">
        <v>46080</v>
      </c>
      <c r="C72" t="s">
        <v>53</v>
      </c>
      <c r="D72" t="s">
        <v>37</v>
      </c>
      <c r="E72">
        <v>2.6</v>
      </c>
      <c r="F72">
        <v>9754.9</v>
      </c>
      <c r="G72">
        <v>750.6</v>
      </c>
      <c r="H72">
        <v>9004.2999999999993</v>
      </c>
      <c r="I72" t="s">
        <v>67</v>
      </c>
      <c r="J72">
        <v>8.51</v>
      </c>
      <c r="K72">
        <v>2492.86</v>
      </c>
      <c r="L72">
        <f t="shared" si="5"/>
        <v>3751.8846153846152</v>
      </c>
      <c r="M72" s="8">
        <f t="shared" si="6"/>
        <v>7.694594511476284E-2</v>
      </c>
      <c r="N72" s="10">
        <f t="shared" si="7"/>
        <v>76626.592999999993</v>
      </c>
      <c r="O72" s="10">
        <f t="shared" si="8"/>
        <v>74133.732999999993</v>
      </c>
      <c r="P72" s="9" t="str">
        <f t="shared" si="9"/>
        <v>OK</v>
      </c>
      <c r="Q72" s="9" t="str">
        <f>INDEX(Crops!$B$2:$B$7,MATCH(D72,Crops!$A$2:$A$7,0))</f>
        <v>Pepper</v>
      </c>
      <c r="R72" s="9" t="str">
        <f>INDEX(Districts!$B$2:$B$6,MATCH(C72,Districts!$A$2:$A$6,0))</f>
        <v>Hohoe</v>
      </c>
    </row>
    <row r="73" spans="1:18">
      <c r="A73" t="s">
        <v>124</v>
      </c>
      <c r="B73" s="4">
        <v>46070</v>
      </c>
      <c r="C73" t="s">
        <v>51</v>
      </c>
      <c r="D73" t="s">
        <v>35</v>
      </c>
      <c r="E73">
        <v>11</v>
      </c>
      <c r="F73">
        <v>104406.2</v>
      </c>
      <c r="G73">
        <v>12876.5</v>
      </c>
      <c r="H73">
        <v>91529.7</v>
      </c>
      <c r="I73" t="s">
        <v>65</v>
      </c>
      <c r="J73">
        <v>5.61</v>
      </c>
      <c r="K73">
        <v>10120.299999999999</v>
      </c>
      <c r="L73">
        <f t="shared" si="5"/>
        <v>9491.4727272727268</v>
      </c>
      <c r="M73" s="8">
        <f t="shared" si="6"/>
        <v>0.12333079836254936</v>
      </c>
      <c r="N73" s="10">
        <f t="shared" si="7"/>
        <v>513481.61700000003</v>
      </c>
      <c r="O73" s="10">
        <f t="shared" si="8"/>
        <v>503361.31700000004</v>
      </c>
      <c r="P73" s="9" t="str">
        <f t="shared" si="9"/>
        <v>OK</v>
      </c>
      <c r="Q73" s="9" t="str">
        <f>INDEX(Crops!$B$2:$B$7,MATCH(D73,Crops!$A$2:$A$7,0))</f>
        <v>Tomato</v>
      </c>
      <c r="R73" s="9" t="str">
        <f>INDEX(Districts!$B$2:$B$6,MATCH(C73,Districts!$A$2:$A$6,0))</f>
        <v>Kintampo</v>
      </c>
    </row>
    <row r="74" spans="1:18">
      <c r="A74" t="s">
        <v>131</v>
      </c>
      <c r="B74" s="4">
        <v>45886</v>
      </c>
      <c r="C74" t="s">
        <v>45</v>
      </c>
      <c r="D74" t="s">
        <v>33</v>
      </c>
      <c r="E74">
        <v>12.4</v>
      </c>
      <c r="F74">
        <v>18046.5</v>
      </c>
      <c r="G74">
        <v>2817.4</v>
      </c>
      <c r="H74">
        <v>15229.1</v>
      </c>
      <c r="I74" t="s">
        <v>77</v>
      </c>
      <c r="J74">
        <v>6.72</v>
      </c>
      <c r="K74">
        <v>19927.310000000001</v>
      </c>
      <c r="L74">
        <f t="shared" si="5"/>
        <v>1455.3629032258063</v>
      </c>
      <c r="M74" s="8">
        <f t="shared" si="6"/>
        <v>0.15611891502507411</v>
      </c>
      <c r="N74" s="10">
        <f t="shared" si="7"/>
        <v>102339.552</v>
      </c>
      <c r="O74" s="10">
        <f t="shared" si="8"/>
        <v>82412.241999999998</v>
      </c>
      <c r="P74" s="9" t="str">
        <f t="shared" si="9"/>
        <v>OK</v>
      </c>
      <c r="Q74" s="9" t="str">
        <f>INDEX(Crops!$B$2:$B$7,MATCH(D74,Crops!$A$2:$A$7,0))</f>
        <v>Rice</v>
      </c>
      <c r="R74" s="9" t="str">
        <f>INDEX(Districts!$B$2:$B$6,MATCH(C74,Districts!$A$2:$A$6,0))</f>
        <v>Ejura</v>
      </c>
    </row>
    <row r="75" spans="1:18">
      <c r="A75" t="s">
        <v>132</v>
      </c>
      <c r="B75" s="4">
        <v>46048</v>
      </c>
      <c r="C75" t="s">
        <v>49</v>
      </c>
      <c r="D75" t="s">
        <v>39</v>
      </c>
      <c r="E75">
        <v>9.3000000000000007</v>
      </c>
      <c r="F75">
        <v>10902.6</v>
      </c>
      <c r="G75">
        <v>1683.1</v>
      </c>
      <c r="H75">
        <v>9219.5</v>
      </c>
      <c r="I75" t="s">
        <v>77</v>
      </c>
      <c r="J75">
        <v>4.8099999999999996</v>
      </c>
      <c r="K75">
        <v>8556.2000000000007</v>
      </c>
      <c r="L75">
        <f t="shared" si="5"/>
        <v>1172.3225806451612</v>
      </c>
      <c r="M75" s="8">
        <f t="shared" si="6"/>
        <v>0.15437602039880394</v>
      </c>
      <c r="N75" s="10">
        <f t="shared" si="7"/>
        <v>44345.794999999998</v>
      </c>
      <c r="O75" s="10">
        <f t="shared" si="8"/>
        <v>35789.595000000001</v>
      </c>
      <c r="P75" s="9" t="str">
        <f t="shared" si="9"/>
        <v>OK</v>
      </c>
      <c r="Q75" s="9" t="str">
        <f>INDEX(Crops!$B$2:$B$7,MATCH(D75,Crops!$A$2:$A$7,0))</f>
        <v>Soybean</v>
      </c>
      <c r="R75" s="9" t="str">
        <f>INDEX(Districts!$B$2:$B$6,MATCH(C75,Districts!$A$2:$A$6,0))</f>
        <v>Tamale Metro</v>
      </c>
    </row>
    <row r="76" spans="1:18">
      <c r="A76" t="s">
        <v>133</v>
      </c>
      <c r="B76" s="4">
        <v>45983</v>
      </c>
      <c r="C76" t="s">
        <v>53</v>
      </c>
      <c r="D76" t="s">
        <v>31</v>
      </c>
      <c r="E76">
        <v>10.199999999999999</v>
      </c>
      <c r="F76">
        <v>17039.7</v>
      </c>
      <c r="G76">
        <v>963</v>
      </c>
      <c r="H76">
        <v>16076.7</v>
      </c>
      <c r="I76" t="s">
        <v>77</v>
      </c>
      <c r="J76">
        <v>3.52</v>
      </c>
      <c r="K76">
        <v>10460.280000000001</v>
      </c>
      <c r="L76">
        <f t="shared" si="5"/>
        <v>1670.5588235294119</v>
      </c>
      <c r="M76" s="8">
        <f t="shared" si="6"/>
        <v>5.6515079490836104E-2</v>
      </c>
      <c r="N76" s="10">
        <f t="shared" si="7"/>
        <v>56589.984000000004</v>
      </c>
      <c r="O76" s="10">
        <f t="shared" si="8"/>
        <v>46129.704000000005</v>
      </c>
      <c r="P76" s="9" t="str">
        <f t="shared" si="9"/>
        <v>OK</v>
      </c>
      <c r="Q76" s="9" t="str">
        <f>INDEX(Crops!$B$2:$B$7,MATCH(D76,Crops!$A$2:$A$7,0))</f>
        <v>Maize</v>
      </c>
      <c r="R76" s="9" t="str">
        <f>INDEX(Districts!$B$2:$B$6,MATCH(C76,Districts!$A$2:$A$6,0))</f>
        <v>Hohoe</v>
      </c>
    </row>
    <row r="77" spans="1:18">
      <c r="A77" t="s">
        <v>73</v>
      </c>
      <c r="B77" s="4">
        <v>46105</v>
      </c>
      <c r="C77" t="s">
        <v>53</v>
      </c>
      <c r="D77" t="s">
        <v>37</v>
      </c>
      <c r="E77">
        <v>12.6</v>
      </c>
      <c r="F77">
        <v>73817.2</v>
      </c>
      <c r="G77">
        <v>9208.7999999999993</v>
      </c>
      <c r="H77">
        <v>64608.4</v>
      </c>
      <c r="I77" t="s">
        <v>70</v>
      </c>
      <c r="J77">
        <v>9.3000000000000007</v>
      </c>
      <c r="K77">
        <v>22078.68</v>
      </c>
      <c r="L77">
        <f t="shared" si="5"/>
        <v>5858.5079365079364</v>
      </c>
      <c r="M77" s="8">
        <f t="shared" si="6"/>
        <v>0.1247514129498274</v>
      </c>
      <c r="N77" s="10">
        <f t="shared" si="7"/>
        <v>600858.12000000011</v>
      </c>
      <c r="O77" s="10">
        <f t="shared" si="8"/>
        <v>578779.44000000006</v>
      </c>
      <c r="P77" s="9" t="str">
        <f t="shared" si="9"/>
        <v>OK</v>
      </c>
      <c r="Q77" s="9" t="str">
        <f>INDEX(Crops!$B$2:$B$7,MATCH(D77,Crops!$A$2:$A$7,0))</f>
        <v>Pepper</v>
      </c>
      <c r="R77" s="9" t="str">
        <f>INDEX(Districts!$B$2:$B$6,MATCH(C77,Districts!$A$2:$A$6,0))</f>
        <v>Hohoe</v>
      </c>
    </row>
    <row r="78" spans="1:18">
      <c r="A78" t="s">
        <v>134</v>
      </c>
      <c r="B78" s="4">
        <v>46148</v>
      </c>
      <c r="C78" t="s">
        <v>47</v>
      </c>
      <c r="D78" t="s">
        <v>33</v>
      </c>
      <c r="E78">
        <v>9.3000000000000007</v>
      </c>
      <c r="F78">
        <v>23536.1</v>
      </c>
      <c r="G78">
        <v>745.9</v>
      </c>
      <c r="H78">
        <v>22790.2</v>
      </c>
      <c r="I78" t="s">
        <v>77</v>
      </c>
      <c r="J78">
        <v>6.12</v>
      </c>
      <c r="K78">
        <v>7104.77</v>
      </c>
      <c r="L78">
        <f t="shared" si="5"/>
        <v>2530.7634408602148</v>
      </c>
      <c r="M78" s="8">
        <f t="shared" si="6"/>
        <v>3.1691741622443821E-2</v>
      </c>
      <c r="N78" s="10">
        <f t="shared" si="7"/>
        <v>139476.024</v>
      </c>
      <c r="O78" s="10">
        <f t="shared" si="8"/>
        <v>132371.25400000002</v>
      </c>
      <c r="P78" s="9" t="str">
        <f t="shared" si="9"/>
        <v>OK</v>
      </c>
      <c r="Q78" s="9" t="str">
        <f>INDEX(Crops!$B$2:$B$7,MATCH(D78,Crops!$A$2:$A$7,0))</f>
        <v>Rice</v>
      </c>
      <c r="R78" s="9" t="str">
        <f>INDEX(Districts!$B$2:$B$6,MATCH(C78,Districts!$A$2:$A$6,0))</f>
        <v>Techiman</v>
      </c>
    </row>
    <row r="79" spans="1:18">
      <c r="A79" t="s">
        <v>135</v>
      </c>
      <c r="B79" s="4">
        <v>45867</v>
      </c>
      <c r="C79" t="s">
        <v>51</v>
      </c>
      <c r="D79" t="s">
        <v>35</v>
      </c>
      <c r="E79">
        <v>9.1999999999999993</v>
      </c>
      <c r="F79">
        <v>74230.600000000006</v>
      </c>
      <c r="G79">
        <v>8783.2999999999993</v>
      </c>
      <c r="H79">
        <v>65447.3</v>
      </c>
      <c r="I79" t="s">
        <v>67</v>
      </c>
      <c r="J79">
        <v>7.33</v>
      </c>
      <c r="K79">
        <v>11472.06</v>
      </c>
      <c r="L79">
        <f t="shared" si="5"/>
        <v>8068.5434782608709</v>
      </c>
      <c r="M79" s="8">
        <f t="shared" si="6"/>
        <v>0.11832451846004206</v>
      </c>
      <c r="N79" s="10">
        <f t="shared" si="7"/>
        <v>479728.70900000003</v>
      </c>
      <c r="O79" s="10">
        <f t="shared" si="8"/>
        <v>468256.64900000003</v>
      </c>
      <c r="P79" s="9" t="str">
        <f t="shared" si="9"/>
        <v>OK</v>
      </c>
      <c r="Q79" s="9" t="str">
        <f>INDEX(Crops!$B$2:$B$7,MATCH(D79,Crops!$A$2:$A$7,0))</f>
        <v>Tomato</v>
      </c>
      <c r="R79" s="9" t="str">
        <f>INDEX(Districts!$B$2:$B$6,MATCH(C79,Districts!$A$2:$A$6,0))</f>
        <v>Kintampo</v>
      </c>
    </row>
    <row r="80" spans="1:18">
      <c r="A80" t="s">
        <v>136</v>
      </c>
      <c r="B80" s="4">
        <v>46081</v>
      </c>
      <c r="C80" t="s">
        <v>51</v>
      </c>
      <c r="D80" t="s">
        <v>39</v>
      </c>
      <c r="E80">
        <v>13.6</v>
      </c>
      <c r="F80">
        <v>24776</v>
      </c>
      <c r="G80">
        <v>3936.1</v>
      </c>
      <c r="H80">
        <v>20839.900000000001</v>
      </c>
      <c r="I80" t="s">
        <v>70</v>
      </c>
      <c r="J80">
        <v>4.58</v>
      </c>
      <c r="K80">
        <v>19472.03</v>
      </c>
      <c r="L80">
        <f t="shared" si="5"/>
        <v>1821.7647058823529</v>
      </c>
      <c r="M80" s="8">
        <f t="shared" si="6"/>
        <v>0.15886745237326444</v>
      </c>
      <c r="N80" s="10">
        <f t="shared" si="7"/>
        <v>95446.742000000013</v>
      </c>
      <c r="O80" s="10">
        <f t="shared" si="8"/>
        <v>75974.712000000014</v>
      </c>
      <c r="P80" s="9" t="str">
        <f t="shared" si="9"/>
        <v>OK</v>
      </c>
      <c r="Q80" s="9" t="str">
        <f>INDEX(Crops!$B$2:$B$7,MATCH(D80,Crops!$A$2:$A$7,0))</f>
        <v>Soybean</v>
      </c>
      <c r="R80" s="9" t="str">
        <f>INDEX(Districts!$B$2:$B$6,MATCH(C80,Districts!$A$2:$A$6,0))</f>
        <v>Kintampo</v>
      </c>
    </row>
    <row r="81" spans="1:18">
      <c r="A81" t="s">
        <v>137</v>
      </c>
      <c r="B81" s="4">
        <v>45903</v>
      </c>
      <c r="C81" t="s">
        <v>53</v>
      </c>
      <c r="D81" t="s">
        <v>35</v>
      </c>
      <c r="E81">
        <v>11.7</v>
      </c>
      <c r="F81">
        <v>99877.3</v>
      </c>
      <c r="G81">
        <v>13114.4</v>
      </c>
      <c r="H81">
        <v>86762.9</v>
      </c>
      <c r="I81" t="s">
        <v>77</v>
      </c>
      <c r="J81">
        <v>7.01</v>
      </c>
      <c r="K81">
        <v>20847.78</v>
      </c>
      <c r="L81">
        <f t="shared" si="5"/>
        <v>8536.521367521369</v>
      </c>
      <c r="M81" s="8">
        <f t="shared" si="6"/>
        <v>0.13130511137165302</v>
      </c>
      <c r="N81" s="10">
        <f t="shared" si="7"/>
        <v>608207.92899999989</v>
      </c>
      <c r="O81" s="10">
        <f t="shared" si="8"/>
        <v>587360.14899999986</v>
      </c>
      <c r="P81" s="9" t="str">
        <f t="shared" si="9"/>
        <v>OK</v>
      </c>
      <c r="Q81" s="9" t="str">
        <f>INDEX(Crops!$B$2:$B$7,MATCH(D81,Crops!$A$2:$A$7,0))</f>
        <v>Tomato</v>
      </c>
      <c r="R81" s="9" t="str">
        <f>INDEX(Districts!$B$2:$B$6,MATCH(C81,Districts!$A$2:$A$6,0))</f>
        <v>Hohoe</v>
      </c>
    </row>
    <row r="82" spans="1:18">
      <c r="A82" t="s">
        <v>138</v>
      </c>
      <c r="B82" s="4">
        <v>46095</v>
      </c>
      <c r="C82" t="s">
        <v>45</v>
      </c>
      <c r="D82" t="s">
        <v>35</v>
      </c>
      <c r="E82">
        <v>1.9</v>
      </c>
      <c r="F82">
        <v>12904.6</v>
      </c>
      <c r="G82">
        <v>973</v>
      </c>
      <c r="H82">
        <v>11931.6</v>
      </c>
      <c r="I82" t="s">
        <v>65</v>
      </c>
      <c r="J82">
        <v>7.38</v>
      </c>
      <c r="K82">
        <v>1247.97</v>
      </c>
      <c r="L82">
        <f t="shared" si="5"/>
        <v>6791.8947368421059</v>
      </c>
      <c r="M82" s="8">
        <f t="shared" si="6"/>
        <v>7.5399469956449638E-2</v>
      </c>
      <c r="N82" s="10">
        <f t="shared" si="7"/>
        <v>88055.207999999999</v>
      </c>
      <c r="O82" s="10">
        <f t="shared" si="8"/>
        <v>86807.237999999998</v>
      </c>
      <c r="P82" s="9" t="str">
        <f t="shared" si="9"/>
        <v>OK</v>
      </c>
      <c r="Q82" s="9" t="str">
        <f>INDEX(Crops!$B$2:$B$7,MATCH(D82,Crops!$A$2:$A$7,0))</f>
        <v>Tomato</v>
      </c>
      <c r="R82" s="9" t="str">
        <f>INDEX(Districts!$B$2:$B$6,MATCH(C82,Districts!$A$2:$A$6,0))</f>
        <v>Ejura</v>
      </c>
    </row>
    <row r="83" spans="1:18">
      <c r="A83" t="s">
        <v>139</v>
      </c>
      <c r="B83" s="4">
        <v>45908</v>
      </c>
      <c r="C83" t="s">
        <v>47</v>
      </c>
      <c r="D83" t="s">
        <v>31</v>
      </c>
      <c r="E83">
        <v>12.5</v>
      </c>
      <c r="F83">
        <v>17372.7</v>
      </c>
      <c r="G83">
        <v>1614.9</v>
      </c>
      <c r="H83">
        <v>15757.8</v>
      </c>
      <c r="I83" t="s">
        <v>67</v>
      </c>
      <c r="J83">
        <v>3.64</v>
      </c>
      <c r="K83">
        <v>10941.15</v>
      </c>
      <c r="L83">
        <f t="shared" si="5"/>
        <v>1389.816</v>
      </c>
      <c r="M83" s="8">
        <f t="shared" si="6"/>
        <v>9.2956189884128543E-2</v>
      </c>
      <c r="N83" s="10">
        <f t="shared" si="7"/>
        <v>57358.392</v>
      </c>
      <c r="O83" s="10">
        <f t="shared" si="8"/>
        <v>46417.241999999998</v>
      </c>
      <c r="P83" s="9" t="str">
        <f t="shared" si="9"/>
        <v>OK</v>
      </c>
      <c r="Q83" s="9" t="str">
        <f>INDEX(Crops!$B$2:$B$7,MATCH(D83,Crops!$A$2:$A$7,0))</f>
        <v>Maize</v>
      </c>
      <c r="R83" s="9" t="str">
        <f>INDEX(Districts!$B$2:$B$6,MATCH(C83,Districts!$A$2:$A$6,0))</f>
        <v>Techiman</v>
      </c>
    </row>
    <row r="84" spans="1:18">
      <c r="A84" t="s">
        <v>140</v>
      </c>
      <c r="B84" s="4">
        <v>46013</v>
      </c>
      <c r="C84" t="s">
        <v>51</v>
      </c>
      <c r="D84" t="s">
        <v>33</v>
      </c>
      <c r="E84">
        <v>13</v>
      </c>
      <c r="F84">
        <v>31528</v>
      </c>
      <c r="G84">
        <v>4813</v>
      </c>
      <c r="H84">
        <v>26715</v>
      </c>
      <c r="I84" t="s">
        <v>77</v>
      </c>
      <c r="J84">
        <v>5.15</v>
      </c>
      <c r="K84">
        <v>18951.830000000002</v>
      </c>
      <c r="L84">
        <f t="shared" si="5"/>
        <v>2425.2307692307691</v>
      </c>
      <c r="M84" s="8">
        <f t="shared" si="6"/>
        <v>0.15265795483379851</v>
      </c>
      <c r="N84" s="10">
        <f t="shared" si="7"/>
        <v>137582.25</v>
      </c>
      <c r="O84" s="10">
        <f t="shared" si="8"/>
        <v>118630.42</v>
      </c>
      <c r="P84" s="9" t="str">
        <f t="shared" si="9"/>
        <v>OK</v>
      </c>
      <c r="Q84" s="9" t="str">
        <f>INDEX(Crops!$B$2:$B$7,MATCH(D84,Crops!$A$2:$A$7,0))</f>
        <v>Rice</v>
      </c>
      <c r="R84" s="9" t="str">
        <f>INDEX(Districts!$B$2:$B$6,MATCH(C84,Districts!$A$2:$A$6,0))</f>
        <v>Kintampo</v>
      </c>
    </row>
    <row r="85" spans="1:18">
      <c r="A85" t="s">
        <v>73</v>
      </c>
      <c r="B85" s="4">
        <v>45975</v>
      </c>
      <c r="C85" t="s">
        <v>45</v>
      </c>
      <c r="D85" t="s">
        <v>35</v>
      </c>
      <c r="E85">
        <v>4.5999999999999996</v>
      </c>
      <c r="F85">
        <v>39238.800000000003</v>
      </c>
      <c r="G85">
        <v>5922.4</v>
      </c>
      <c r="H85">
        <v>33316.400000000001</v>
      </c>
      <c r="I85" t="s">
        <v>77</v>
      </c>
      <c r="J85">
        <v>7.71</v>
      </c>
      <c r="K85">
        <v>7773.3</v>
      </c>
      <c r="L85">
        <f t="shared" si="5"/>
        <v>8530.1739130434798</v>
      </c>
      <c r="M85" s="8">
        <f t="shared" si="6"/>
        <v>0.15093224053742721</v>
      </c>
      <c r="N85" s="10">
        <f t="shared" si="7"/>
        <v>256869.44400000002</v>
      </c>
      <c r="O85" s="10">
        <f t="shared" si="8"/>
        <v>249096.14400000003</v>
      </c>
      <c r="P85" s="9" t="str">
        <f t="shared" si="9"/>
        <v>OK</v>
      </c>
      <c r="Q85" s="9" t="str">
        <f>INDEX(Crops!$B$2:$B$7,MATCH(D85,Crops!$A$2:$A$7,0))</f>
        <v>Tomato</v>
      </c>
      <c r="R85" s="9" t="str">
        <f>INDEX(Districts!$B$2:$B$6,MATCH(C85,Districts!$A$2:$A$6,0))</f>
        <v>Ejura</v>
      </c>
    </row>
    <row r="86" spans="1:18">
      <c r="A86" t="s">
        <v>141</v>
      </c>
      <c r="B86" s="4">
        <v>46100</v>
      </c>
      <c r="C86" t="s">
        <v>47</v>
      </c>
      <c r="D86" t="s">
        <v>37</v>
      </c>
      <c r="E86">
        <v>9.1</v>
      </c>
      <c r="F86">
        <v>58175.8</v>
      </c>
      <c r="G86">
        <v>8401.9</v>
      </c>
      <c r="H86">
        <v>49773.9</v>
      </c>
      <c r="I86" t="s">
        <v>70</v>
      </c>
      <c r="J86">
        <v>9.44</v>
      </c>
      <c r="K86">
        <v>7761.58</v>
      </c>
      <c r="L86">
        <f t="shared" si="5"/>
        <v>6392.9450549450557</v>
      </c>
      <c r="M86" s="8">
        <f t="shared" si="6"/>
        <v>0.14442259496216639</v>
      </c>
      <c r="N86" s="10">
        <f t="shared" si="7"/>
        <v>469865.61599999998</v>
      </c>
      <c r="O86" s="10">
        <f t="shared" si="8"/>
        <v>462104.03599999996</v>
      </c>
      <c r="P86" s="9" t="str">
        <f t="shared" si="9"/>
        <v>OK</v>
      </c>
      <c r="Q86" s="9" t="str">
        <f>INDEX(Crops!$B$2:$B$7,MATCH(D86,Crops!$A$2:$A$7,0))</f>
        <v>Pepper</v>
      </c>
      <c r="R86" s="9" t="str">
        <f>INDEX(Districts!$B$2:$B$6,MATCH(C86,Districts!$A$2:$A$6,0))</f>
        <v>Techiman</v>
      </c>
    </row>
    <row r="87" spans="1:18">
      <c r="A87" t="s">
        <v>120</v>
      </c>
      <c r="B87" s="4">
        <v>46122</v>
      </c>
      <c r="C87" t="s">
        <v>51</v>
      </c>
      <c r="D87" t="s">
        <v>37</v>
      </c>
      <c r="E87">
        <v>7.1</v>
      </c>
      <c r="F87">
        <v>43735.7</v>
      </c>
      <c r="G87">
        <v>4671.2</v>
      </c>
      <c r="H87">
        <v>39064.5</v>
      </c>
      <c r="I87" t="s">
        <v>142</v>
      </c>
      <c r="J87">
        <v>10.74</v>
      </c>
      <c r="K87">
        <v>6460.11</v>
      </c>
      <c r="L87">
        <f t="shared" si="5"/>
        <v>6159.9577464788736</v>
      </c>
      <c r="M87" s="8">
        <f t="shared" si="6"/>
        <v>0.10680519575541263</v>
      </c>
      <c r="N87" s="10">
        <f t="shared" si="7"/>
        <v>419552.73</v>
      </c>
      <c r="O87" s="10">
        <f t="shared" si="8"/>
        <v>413092.62</v>
      </c>
      <c r="P87" s="9" t="str">
        <f t="shared" si="9"/>
        <v>OK</v>
      </c>
      <c r="Q87" s="9" t="str">
        <f>INDEX(Crops!$B$2:$B$7,MATCH(D87,Crops!$A$2:$A$7,0))</f>
        <v>Pepper</v>
      </c>
      <c r="R87" s="9" t="str">
        <f>INDEX(Districts!$B$2:$B$6,MATCH(C87,Districts!$A$2:$A$6,0))</f>
        <v>Kintampo</v>
      </c>
    </row>
    <row r="88" spans="1:18">
      <c r="A88" t="s">
        <v>143</v>
      </c>
      <c r="B88" s="4">
        <v>45840</v>
      </c>
      <c r="C88" t="s">
        <v>49</v>
      </c>
      <c r="D88" t="s">
        <v>35</v>
      </c>
      <c r="E88">
        <v>6.4</v>
      </c>
      <c r="F88">
        <v>60240.2</v>
      </c>
      <c r="G88">
        <v>4754.5</v>
      </c>
      <c r="H88">
        <v>55485.7</v>
      </c>
      <c r="I88" t="s">
        <v>65</v>
      </c>
      <c r="J88">
        <v>5.86</v>
      </c>
      <c r="K88">
        <v>10612.21</v>
      </c>
      <c r="L88">
        <f t="shared" si="5"/>
        <v>9412.5312499999982</v>
      </c>
      <c r="M88" s="8">
        <f t="shared" si="6"/>
        <v>7.8925700777885868E-2</v>
      </c>
      <c r="N88" s="10">
        <f t="shared" si="7"/>
        <v>325146.20199999999</v>
      </c>
      <c r="O88" s="10">
        <f t="shared" si="8"/>
        <v>314533.99199999997</v>
      </c>
      <c r="P88" s="9" t="str">
        <f t="shared" si="9"/>
        <v>OK</v>
      </c>
      <c r="Q88" s="9" t="str">
        <f>INDEX(Crops!$B$2:$B$7,MATCH(D88,Crops!$A$2:$A$7,0))</f>
        <v>Tomato</v>
      </c>
      <c r="R88" s="9" t="str">
        <f>INDEX(Districts!$B$2:$B$6,MATCH(C88,Districts!$A$2:$A$6,0))</f>
        <v>Tamale Metro</v>
      </c>
    </row>
    <row r="89" spans="1:18">
      <c r="A89" t="s">
        <v>71</v>
      </c>
      <c r="B89" s="4">
        <v>45955</v>
      </c>
      <c r="C89" t="s">
        <v>47</v>
      </c>
      <c r="D89" t="s">
        <v>35</v>
      </c>
      <c r="E89">
        <v>1.8</v>
      </c>
      <c r="F89">
        <v>16131.1</v>
      </c>
      <c r="G89">
        <v>1842.6</v>
      </c>
      <c r="H89">
        <v>14288.5</v>
      </c>
      <c r="I89" t="s">
        <v>67</v>
      </c>
      <c r="J89">
        <v>5.67</v>
      </c>
      <c r="K89">
        <v>2041.49</v>
      </c>
      <c r="L89">
        <f t="shared" si="5"/>
        <v>8961.7222222222226</v>
      </c>
      <c r="M89" s="8">
        <f t="shared" si="6"/>
        <v>0.11422655615550086</v>
      </c>
      <c r="N89" s="10">
        <f t="shared" si="7"/>
        <v>81015.794999999998</v>
      </c>
      <c r="O89" s="10">
        <f t="shared" si="8"/>
        <v>78974.304999999993</v>
      </c>
      <c r="P89" s="9" t="str">
        <f t="shared" si="9"/>
        <v>OK</v>
      </c>
      <c r="Q89" s="9" t="str">
        <f>INDEX(Crops!$B$2:$B$7,MATCH(D89,Crops!$A$2:$A$7,0))</f>
        <v>Tomato</v>
      </c>
      <c r="R89" s="9" t="str">
        <f>INDEX(Districts!$B$2:$B$6,MATCH(C89,Districts!$A$2:$A$6,0))</f>
        <v>Techiman</v>
      </c>
    </row>
    <row r="90" spans="1:18">
      <c r="A90" t="s">
        <v>107</v>
      </c>
      <c r="B90" s="4">
        <v>45840</v>
      </c>
      <c r="C90" t="s">
        <v>51</v>
      </c>
      <c r="D90" t="s">
        <v>33</v>
      </c>
      <c r="E90">
        <v>3.5</v>
      </c>
      <c r="F90">
        <v>6683.8</v>
      </c>
      <c r="G90">
        <v>1020.1</v>
      </c>
      <c r="H90">
        <v>5663.7</v>
      </c>
      <c r="I90" t="s">
        <v>67</v>
      </c>
      <c r="J90">
        <v>5.25</v>
      </c>
      <c r="K90">
        <v>4642.1400000000003</v>
      </c>
      <c r="L90">
        <f t="shared" si="5"/>
        <v>1909.6571428571428</v>
      </c>
      <c r="M90" s="8">
        <f t="shared" si="6"/>
        <v>0.15262275950806428</v>
      </c>
      <c r="N90" s="10">
        <f t="shared" si="7"/>
        <v>29734.424999999999</v>
      </c>
      <c r="O90" s="10">
        <f t="shared" si="8"/>
        <v>25092.285</v>
      </c>
      <c r="P90" s="9" t="str">
        <f t="shared" si="9"/>
        <v>OK</v>
      </c>
      <c r="Q90" s="9" t="str">
        <f>INDEX(Crops!$B$2:$B$7,MATCH(D90,Crops!$A$2:$A$7,0))</f>
        <v>Rice</v>
      </c>
      <c r="R90" s="9" t="str">
        <f>INDEX(Districts!$B$2:$B$6,MATCH(C90,Districts!$A$2:$A$6,0))</f>
        <v>Kintampo</v>
      </c>
    </row>
    <row r="91" spans="1:18">
      <c r="A91" t="s">
        <v>144</v>
      </c>
      <c r="B91" s="4">
        <v>45872</v>
      </c>
      <c r="C91" t="s">
        <v>49</v>
      </c>
      <c r="D91" t="s">
        <v>39</v>
      </c>
      <c r="E91">
        <v>10.6</v>
      </c>
      <c r="F91">
        <v>19146.7</v>
      </c>
      <c r="G91">
        <v>1615.6</v>
      </c>
      <c r="H91">
        <v>17531.099999999999</v>
      </c>
      <c r="I91" t="s">
        <v>70</v>
      </c>
      <c r="J91">
        <v>4.2</v>
      </c>
      <c r="K91">
        <v>7664.18</v>
      </c>
      <c r="L91">
        <f t="shared" si="5"/>
        <v>1806.2924528301887</v>
      </c>
      <c r="M91" s="8">
        <f t="shared" si="6"/>
        <v>8.4380075939979204E-2</v>
      </c>
      <c r="N91" s="10">
        <f t="shared" si="7"/>
        <v>73630.62</v>
      </c>
      <c r="O91" s="10">
        <f t="shared" si="8"/>
        <v>65966.44</v>
      </c>
      <c r="P91" s="9" t="str">
        <f t="shared" si="9"/>
        <v>OK</v>
      </c>
      <c r="Q91" s="9" t="str">
        <f>INDEX(Crops!$B$2:$B$7,MATCH(D91,Crops!$A$2:$A$7,0))</f>
        <v>Soybean</v>
      </c>
      <c r="R91" s="9" t="str">
        <f>INDEX(Districts!$B$2:$B$6,MATCH(C91,Districts!$A$2:$A$6,0))</f>
        <v>Tamale Metro</v>
      </c>
    </row>
    <row r="92" spans="1:18">
      <c r="A92" t="s">
        <v>145</v>
      </c>
      <c r="B92" s="4">
        <v>45869</v>
      </c>
      <c r="C92" t="s">
        <v>53</v>
      </c>
      <c r="D92" t="s">
        <v>39</v>
      </c>
      <c r="E92">
        <v>2.7</v>
      </c>
      <c r="F92">
        <v>3429.2</v>
      </c>
      <c r="G92">
        <v>427.4</v>
      </c>
      <c r="H92">
        <v>3001.8</v>
      </c>
      <c r="I92" t="s">
        <v>67</v>
      </c>
      <c r="J92">
        <v>4.5199999999999996</v>
      </c>
      <c r="K92">
        <v>2583.6999999999998</v>
      </c>
      <c r="L92">
        <f t="shared" si="5"/>
        <v>1270.0740740740739</v>
      </c>
      <c r="M92" s="8">
        <f t="shared" si="6"/>
        <v>0.12463548349469264</v>
      </c>
      <c r="N92" s="10">
        <f t="shared" si="7"/>
        <v>13568.136</v>
      </c>
      <c r="O92" s="10">
        <f t="shared" si="8"/>
        <v>10984.436000000002</v>
      </c>
      <c r="P92" s="9" t="str">
        <f t="shared" si="9"/>
        <v>OK</v>
      </c>
      <c r="Q92" s="9" t="str">
        <f>INDEX(Crops!$B$2:$B$7,MATCH(D92,Crops!$A$2:$A$7,0))</f>
        <v>Soybean</v>
      </c>
      <c r="R92" s="9" t="str">
        <f>INDEX(Districts!$B$2:$B$6,MATCH(C92,Districts!$A$2:$A$6,0))</f>
        <v>Hohoe</v>
      </c>
    </row>
    <row r="93" spans="1:18">
      <c r="A93" t="s">
        <v>146</v>
      </c>
      <c r="B93" s="4">
        <v>46177</v>
      </c>
      <c r="C93" t="s">
        <v>47</v>
      </c>
      <c r="D93" t="s">
        <v>33</v>
      </c>
      <c r="E93">
        <v>10.3</v>
      </c>
      <c r="F93">
        <v>19174.3</v>
      </c>
      <c r="G93">
        <v>539</v>
      </c>
      <c r="H93">
        <v>18635.3</v>
      </c>
      <c r="I93" t="s">
        <v>65</v>
      </c>
      <c r="J93">
        <v>5.44</v>
      </c>
      <c r="K93">
        <v>9974.19</v>
      </c>
      <c r="L93">
        <f t="shared" si="5"/>
        <v>1861.5825242718445</v>
      </c>
      <c r="M93" s="8">
        <f t="shared" si="6"/>
        <v>2.811054380081672E-2</v>
      </c>
      <c r="N93" s="10">
        <f t="shared" si="7"/>
        <v>101376.03200000001</v>
      </c>
      <c r="O93" s="10">
        <f t="shared" si="8"/>
        <v>91401.842000000004</v>
      </c>
      <c r="P93" s="9" t="str">
        <f t="shared" si="9"/>
        <v>OK</v>
      </c>
      <c r="Q93" s="9" t="str">
        <f>INDEX(Crops!$B$2:$B$7,MATCH(D93,Crops!$A$2:$A$7,0))</f>
        <v>Rice</v>
      </c>
      <c r="R93" s="9" t="str">
        <f>INDEX(Districts!$B$2:$B$6,MATCH(C93,Districts!$A$2:$A$6,0))</f>
        <v>Techiman</v>
      </c>
    </row>
    <row r="94" spans="1:18">
      <c r="A94" t="s">
        <v>147</v>
      </c>
      <c r="B94" s="4">
        <v>45969</v>
      </c>
      <c r="C94" t="s">
        <v>45</v>
      </c>
      <c r="D94" t="s">
        <v>33</v>
      </c>
      <c r="E94">
        <v>7.2</v>
      </c>
      <c r="F94">
        <v>16325.3</v>
      </c>
      <c r="G94">
        <v>822.7</v>
      </c>
      <c r="H94">
        <v>15502.6</v>
      </c>
      <c r="I94" t="s">
        <v>65</v>
      </c>
      <c r="J94">
        <v>6.79</v>
      </c>
      <c r="K94">
        <v>11914.67</v>
      </c>
      <c r="L94">
        <f t="shared" si="5"/>
        <v>2267.4027777777778</v>
      </c>
      <c r="M94" s="8">
        <f t="shared" si="6"/>
        <v>5.0394173460824615E-2</v>
      </c>
      <c r="N94" s="10">
        <f t="shared" si="7"/>
        <v>105262.65400000001</v>
      </c>
      <c r="O94" s="10">
        <f t="shared" si="8"/>
        <v>93347.984000000011</v>
      </c>
      <c r="P94" s="9" t="str">
        <f t="shared" si="9"/>
        <v>OK</v>
      </c>
      <c r="Q94" s="9" t="str">
        <f>INDEX(Crops!$B$2:$B$7,MATCH(D94,Crops!$A$2:$A$7,0))</f>
        <v>Rice</v>
      </c>
      <c r="R94" s="9" t="str">
        <f>INDEX(Districts!$B$2:$B$6,MATCH(C94,Districts!$A$2:$A$6,0))</f>
        <v>Ejura</v>
      </c>
    </row>
    <row r="95" spans="1:18">
      <c r="A95" t="s">
        <v>148</v>
      </c>
      <c r="B95" s="4">
        <v>46009</v>
      </c>
      <c r="C95" t="s">
        <v>47</v>
      </c>
      <c r="D95" t="s">
        <v>41</v>
      </c>
      <c r="E95">
        <v>8.1999999999999993</v>
      </c>
      <c r="F95">
        <v>47929.599999999999</v>
      </c>
      <c r="G95">
        <v>5728.3</v>
      </c>
      <c r="H95">
        <v>42201.3</v>
      </c>
      <c r="I95" t="s">
        <v>77</v>
      </c>
      <c r="J95">
        <v>2.11</v>
      </c>
      <c r="K95">
        <v>9664.24</v>
      </c>
      <c r="L95">
        <f t="shared" si="5"/>
        <v>5845.0731707317073</v>
      </c>
      <c r="M95" s="8">
        <f t="shared" si="6"/>
        <v>0.11951487181199093</v>
      </c>
      <c r="N95" s="10">
        <f t="shared" si="7"/>
        <v>89044.743000000002</v>
      </c>
      <c r="O95" s="10">
        <f t="shared" si="8"/>
        <v>79380.502999999997</v>
      </c>
      <c r="P95" s="9" t="str">
        <f t="shared" si="9"/>
        <v>OK</v>
      </c>
      <c r="Q95" s="9" t="str">
        <f>INDEX(Crops!$B$2:$B$7,MATCH(D95,Crops!$A$2:$A$7,0))</f>
        <v>Cassava</v>
      </c>
      <c r="R95" s="9" t="str">
        <f>INDEX(Districts!$B$2:$B$6,MATCH(C95,Districts!$A$2:$A$6,0))</f>
        <v>Techiman</v>
      </c>
    </row>
    <row r="96" spans="1:18">
      <c r="A96" t="s">
        <v>149</v>
      </c>
      <c r="B96" s="4">
        <v>45938</v>
      </c>
      <c r="C96" t="s">
        <v>51</v>
      </c>
      <c r="D96" t="s">
        <v>33</v>
      </c>
      <c r="E96">
        <v>3.7</v>
      </c>
      <c r="F96">
        <v>7452.3</v>
      </c>
      <c r="G96">
        <v>1075.3</v>
      </c>
      <c r="H96">
        <v>6377</v>
      </c>
      <c r="I96" t="s">
        <v>67</v>
      </c>
      <c r="J96">
        <v>5.81</v>
      </c>
      <c r="K96">
        <v>4099.08</v>
      </c>
      <c r="L96">
        <f t="shared" si="5"/>
        <v>2014.135135135135</v>
      </c>
      <c r="M96" s="8">
        <f t="shared" si="6"/>
        <v>0.14429102424754772</v>
      </c>
      <c r="N96" s="10">
        <f t="shared" si="7"/>
        <v>37050.369999999995</v>
      </c>
      <c r="O96" s="10">
        <f t="shared" si="8"/>
        <v>32951.289999999994</v>
      </c>
      <c r="P96" s="9" t="str">
        <f t="shared" si="9"/>
        <v>OK</v>
      </c>
      <c r="Q96" s="9" t="str">
        <f>INDEX(Crops!$B$2:$B$7,MATCH(D96,Crops!$A$2:$A$7,0))</f>
        <v>Rice</v>
      </c>
      <c r="R96" s="9" t="str">
        <f>INDEX(Districts!$B$2:$B$6,MATCH(C96,Districts!$A$2:$A$6,0))</f>
        <v>Kintampo</v>
      </c>
    </row>
    <row r="97" spans="1:18">
      <c r="A97" t="s">
        <v>82</v>
      </c>
      <c r="B97" s="4">
        <v>45935</v>
      </c>
      <c r="C97" t="s">
        <v>51</v>
      </c>
      <c r="D97" t="s">
        <v>41</v>
      </c>
      <c r="E97">
        <v>13.8</v>
      </c>
      <c r="F97">
        <v>106345.9</v>
      </c>
      <c r="G97">
        <v>13447.2</v>
      </c>
      <c r="H97">
        <v>92898.7</v>
      </c>
      <c r="I97" t="s">
        <v>67</v>
      </c>
      <c r="J97">
        <v>2.0699999999999998</v>
      </c>
      <c r="K97">
        <v>19068.21</v>
      </c>
      <c r="L97">
        <f t="shared" si="5"/>
        <v>7706.224637681159</v>
      </c>
      <c r="M97" s="8">
        <f t="shared" si="6"/>
        <v>0.12644775209951678</v>
      </c>
      <c r="N97" s="10">
        <f t="shared" si="7"/>
        <v>192300.30899999998</v>
      </c>
      <c r="O97" s="10">
        <f t="shared" si="8"/>
        <v>173232.09899999999</v>
      </c>
      <c r="P97" s="9" t="str">
        <f t="shared" si="9"/>
        <v>OK</v>
      </c>
      <c r="Q97" s="9" t="str">
        <f>INDEX(Crops!$B$2:$B$7,MATCH(D97,Crops!$A$2:$A$7,0))</f>
        <v>Cassava</v>
      </c>
      <c r="R97" s="9" t="str">
        <f>INDEX(Districts!$B$2:$B$6,MATCH(C97,Districts!$A$2:$A$6,0))</f>
        <v>Kintampo</v>
      </c>
    </row>
    <row r="98" spans="1:18">
      <c r="A98" t="s">
        <v>146</v>
      </c>
      <c r="B98" s="4">
        <v>46001</v>
      </c>
      <c r="C98" t="s">
        <v>49</v>
      </c>
      <c r="D98" t="s">
        <v>37</v>
      </c>
      <c r="E98">
        <v>3.2</v>
      </c>
      <c r="F98">
        <v>19713.099999999999</v>
      </c>
      <c r="G98">
        <v>2084.3000000000002</v>
      </c>
      <c r="H98">
        <v>17628.8</v>
      </c>
      <c r="I98" t="s">
        <v>77</v>
      </c>
      <c r="J98">
        <v>8.5299999999999994</v>
      </c>
      <c r="K98">
        <v>3683.3</v>
      </c>
      <c r="L98">
        <f t="shared" si="5"/>
        <v>6160.3437499999991</v>
      </c>
      <c r="M98" s="8">
        <f t="shared" si="6"/>
        <v>0.10573172154557124</v>
      </c>
      <c r="N98" s="10">
        <f t="shared" si="7"/>
        <v>150373.66399999999</v>
      </c>
      <c r="O98" s="10">
        <f t="shared" si="8"/>
        <v>146690.364</v>
      </c>
      <c r="P98" s="9" t="str">
        <f t="shared" si="9"/>
        <v>OK</v>
      </c>
      <c r="Q98" s="9" t="str">
        <f>INDEX(Crops!$B$2:$B$7,MATCH(D98,Crops!$A$2:$A$7,0))</f>
        <v>Pepper</v>
      </c>
      <c r="R98" s="9" t="str">
        <f>INDEX(Districts!$B$2:$B$6,MATCH(C98,Districts!$A$2:$A$6,0))</f>
        <v>Tamale Metro</v>
      </c>
    </row>
    <row r="99" spans="1:18">
      <c r="A99" t="s">
        <v>150</v>
      </c>
      <c r="B99" s="4">
        <v>46174</v>
      </c>
      <c r="C99" t="s">
        <v>47</v>
      </c>
      <c r="D99" t="s">
        <v>35</v>
      </c>
      <c r="E99">
        <v>2.5</v>
      </c>
      <c r="F99">
        <v>20854.5</v>
      </c>
      <c r="G99">
        <v>831.3</v>
      </c>
      <c r="H99">
        <v>20023.2</v>
      </c>
      <c r="I99" t="s">
        <v>70</v>
      </c>
      <c r="J99">
        <v>6.64</v>
      </c>
      <c r="K99">
        <v>2338.15</v>
      </c>
      <c r="L99">
        <f t="shared" si="5"/>
        <v>8341.7999999999993</v>
      </c>
      <c r="M99" s="8">
        <f t="shared" si="6"/>
        <v>3.9861900309285762E-2</v>
      </c>
      <c r="N99" s="10">
        <f t="shared" si="7"/>
        <v>132954.04800000001</v>
      </c>
      <c r="O99" s="10">
        <f t="shared" si="8"/>
        <v>130615.89800000002</v>
      </c>
      <c r="P99" s="9" t="str">
        <f t="shared" si="9"/>
        <v>OK</v>
      </c>
      <c r="Q99" s="9" t="str">
        <f>INDEX(Crops!$B$2:$B$7,MATCH(D99,Crops!$A$2:$A$7,0))</f>
        <v>Tomato</v>
      </c>
      <c r="R99" s="9" t="str">
        <f>INDEX(Districts!$B$2:$B$6,MATCH(C99,Districts!$A$2:$A$6,0))</f>
        <v>Techiman</v>
      </c>
    </row>
    <row r="100" spans="1:18">
      <c r="A100" t="s">
        <v>151</v>
      </c>
      <c r="B100" s="4">
        <v>46176</v>
      </c>
      <c r="C100" t="s">
        <v>49</v>
      </c>
      <c r="D100" t="s">
        <v>41</v>
      </c>
      <c r="E100">
        <v>7.1</v>
      </c>
      <c r="F100">
        <v>37677</v>
      </c>
      <c r="G100">
        <v>1688.8</v>
      </c>
      <c r="H100">
        <v>35988.199999999997</v>
      </c>
      <c r="I100" t="s">
        <v>67</v>
      </c>
      <c r="J100">
        <v>2.29</v>
      </c>
      <c r="K100">
        <v>11987.46</v>
      </c>
      <c r="L100">
        <f t="shared" si="5"/>
        <v>5306.6197183098593</v>
      </c>
      <c r="M100" s="8">
        <f t="shared" si="6"/>
        <v>4.4823101626987286E-2</v>
      </c>
      <c r="N100" s="10">
        <f t="shared" si="7"/>
        <v>82412.977999999988</v>
      </c>
      <c r="O100" s="10">
        <f t="shared" si="8"/>
        <v>70425.517999999982</v>
      </c>
      <c r="P100" s="9" t="str">
        <f t="shared" si="9"/>
        <v>OK</v>
      </c>
      <c r="Q100" s="9" t="str">
        <f>INDEX(Crops!$B$2:$B$7,MATCH(D100,Crops!$A$2:$A$7,0))</f>
        <v>Cassava</v>
      </c>
      <c r="R100" s="9" t="str">
        <f>INDEX(Districts!$B$2:$B$6,MATCH(C100,Districts!$A$2:$A$6,0))</f>
        <v>Tamale Metro</v>
      </c>
    </row>
    <row r="101" spans="1:18">
      <c r="A101" t="s">
        <v>152</v>
      </c>
      <c r="B101" s="4">
        <v>46090</v>
      </c>
      <c r="C101" t="s">
        <v>51</v>
      </c>
      <c r="D101" t="s">
        <v>37</v>
      </c>
      <c r="E101">
        <v>8.9</v>
      </c>
      <c r="F101">
        <v>54508.800000000003</v>
      </c>
      <c r="G101">
        <v>6570.4</v>
      </c>
      <c r="H101">
        <v>47938.400000000001</v>
      </c>
      <c r="I101" t="s">
        <v>67</v>
      </c>
      <c r="J101">
        <v>8.24</v>
      </c>
      <c r="K101">
        <v>15786.42</v>
      </c>
      <c r="L101">
        <f t="shared" si="5"/>
        <v>6124.5842696629215</v>
      </c>
      <c r="M101" s="8">
        <f t="shared" si="6"/>
        <v>0.12053833509451684</v>
      </c>
      <c r="N101" s="10">
        <f t="shared" si="7"/>
        <v>395012.41600000003</v>
      </c>
      <c r="O101" s="10">
        <f t="shared" si="8"/>
        <v>379225.99600000004</v>
      </c>
      <c r="P101" s="9" t="str">
        <f t="shared" si="9"/>
        <v>OK</v>
      </c>
      <c r="Q101" s="9" t="str">
        <f>INDEX(Crops!$B$2:$B$7,MATCH(D101,Crops!$A$2:$A$7,0))</f>
        <v>Pepper</v>
      </c>
      <c r="R101" s="9" t="str">
        <f>INDEX(Districts!$B$2:$B$6,MATCH(C101,Districts!$A$2:$A$6,0))</f>
        <v>Kintampo</v>
      </c>
    </row>
    <row r="102" spans="1:18">
      <c r="A102" t="s">
        <v>153</v>
      </c>
      <c r="B102" s="4">
        <v>46175</v>
      </c>
      <c r="C102" t="s">
        <v>49</v>
      </c>
      <c r="D102" t="s">
        <v>35</v>
      </c>
      <c r="E102">
        <v>14.3</v>
      </c>
      <c r="F102">
        <v>120407.9</v>
      </c>
      <c r="G102">
        <v>9605.7000000000007</v>
      </c>
      <c r="H102">
        <v>110802.2</v>
      </c>
      <c r="I102" t="s">
        <v>77</v>
      </c>
      <c r="J102">
        <v>5.71</v>
      </c>
      <c r="K102">
        <v>15274.81</v>
      </c>
      <c r="L102">
        <f t="shared" si="5"/>
        <v>8420.1328671328665</v>
      </c>
      <c r="M102" s="8">
        <f t="shared" si="6"/>
        <v>7.9776326968579309E-2</v>
      </c>
      <c r="N102" s="10">
        <f t="shared" si="7"/>
        <v>632680.56200000003</v>
      </c>
      <c r="O102" s="10">
        <f t="shared" si="8"/>
        <v>617405.75199999998</v>
      </c>
      <c r="P102" s="9" t="str">
        <f t="shared" si="9"/>
        <v>OK</v>
      </c>
      <c r="Q102" s="9" t="str">
        <f>INDEX(Crops!$B$2:$B$7,MATCH(D102,Crops!$A$2:$A$7,0))</f>
        <v>Tomato</v>
      </c>
      <c r="R102" s="9" t="str">
        <f>INDEX(Districts!$B$2:$B$6,MATCH(C102,Districts!$A$2:$A$6,0))</f>
        <v>Tamale Metro</v>
      </c>
    </row>
    <row r="103" spans="1:18">
      <c r="A103" t="s">
        <v>154</v>
      </c>
      <c r="B103" s="4">
        <v>45950</v>
      </c>
      <c r="C103" t="s">
        <v>53</v>
      </c>
      <c r="D103" t="s">
        <v>41</v>
      </c>
      <c r="E103">
        <v>11.5</v>
      </c>
      <c r="F103">
        <v>64467.199999999997</v>
      </c>
      <c r="G103">
        <v>10019.299999999999</v>
      </c>
      <c r="H103">
        <v>54447.9</v>
      </c>
      <c r="I103" t="s">
        <v>67</v>
      </c>
      <c r="J103">
        <v>2.2200000000000002</v>
      </c>
      <c r="K103">
        <v>12614.98</v>
      </c>
      <c r="L103">
        <f t="shared" si="5"/>
        <v>5605.8434782608692</v>
      </c>
      <c r="M103" s="8">
        <f t="shared" si="6"/>
        <v>0.15541701826665344</v>
      </c>
      <c r="N103" s="10">
        <f t="shared" si="7"/>
        <v>120874.33800000002</v>
      </c>
      <c r="O103" s="10">
        <f t="shared" si="8"/>
        <v>108259.35800000002</v>
      </c>
      <c r="P103" s="9" t="str">
        <f t="shared" si="9"/>
        <v>OK</v>
      </c>
      <c r="Q103" s="9" t="str">
        <f>INDEX(Crops!$B$2:$B$7,MATCH(D103,Crops!$A$2:$A$7,0))</f>
        <v>Cassava</v>
      </c>
      <c r="R103" s="9" t="str">
        <f>INDEX(Districts!$B$2:$B$6,MATCH(C103,Districts!$A$2:$A$6,0))</f>
        <v>Hohoe</v>
      </c>
    </row>
    <row r="104" spans="1:18">
      <c r="A104" t="s">
        <v>155</v>
      </c>
      <c r="B104" s="4">
        <v>46195</v>
      </c>
      <c r="C104" t="s">
        <v>45</v>
      </c>
      <c r="D104" t="s">
        <v>37</v>
      </c>
      <c r="E104">
        <v>10.4</v>
      </c>
      <c r="F104">
        <v>50348</v>
      </c>
      <c r="G104">
        <v>3605</v>
      </c>
      <c r="H104">
        <v>46743</v>
      </c>
      <c r="I104" t="s">
        <v>65</v>
      </c>
      <c r="J104">
        <v>9.58</v>
      </c>
      <c r="K104">
        <v>17048.23</v>
      </c>
      <c r="L104">
        <f t="shared" si="5"/>
        <v>4841.1538461538457</v>
      </c>
      <c r="M104" s="8">
        <f t="shared" si="6"/>
        <v>7.1601652498609683E-2</v>
      </c>
      <c r="N104" s="10">
        <f t="shared" si="7"/>
        <v>447797.94</v>
      </c>
      <c r="O104" s="10">
        <f t="shared" si="8"/>
        <v>430749.71</v>
      </c>
      <c r="P104" s="9" t="str">
        <f t="shared" si="9"/>
        <v>OK</v>
      </c>
      <c r="Q104" s="9" t="str">
        <f>INDEX(Crops!$B$2:$B$7,MATCH(D104,Crops!$A$2:$A$7,0))</f>
        <v>Pepper</v>
      </c>
      <c r="R104" s="9" t="str">
        <f>INDEX(Districts!$B$2:$B$6,MATCH(C104,Districts!$A$2:$A$6,0))</f>
        <v>Ejura</v>
      </c>
    </row>
    <row r="105" spans="1:18">
      <c r="A105" t="s">
        <v>73</v>
      </c>
      <c r="B105" s="4">
        <v>46039</v>
      </c>
      <c r="C105" t="s">
        <v>53</v>
      </c>
      <c r="D105" t="s">
        <v>33</v>
      </c>
      <c r="E105">
        <v>10.7</v>
      </c>
      <c r="F105">
        <v>17678.8</v>
      </c>
      <c r="G105">
        <v>1336.5</v>
      </c>
      <c r="H105">
        <v>16342.3</v>
      </c>
      <c r="I105" t="s">
        <v>67</v>
      </c>
      <c r="J105">
        <v>5.59</v>
      </c>
      <c r="K105">
        <v>16567.66</v>
      </c>
      <c r="L105">
        <f t="shared" si="5"/>
        <v>1652.2242990654206</v>
      </c>
      <c r="M105" s="8">
        <f t="shared" si="6"/>
        <v>7.5599022558092185E-2</v>
      </c>
      <c r="N105" s="10">
        <f t="shared" si="7"/>
        <v>91353.456999999995</v>
      </c>
      <c r="O105" s="10">
        <f t="shared" si="8"/>
        <v>74785.796999999991</v>
      </c>
      <c r="P105" s="9" t="str">
        <f t="shared" si="9"/>
        <v>OK</v>
      </c>
      <c r="Q105" s="9" t="str">
        <f>INDEX(Crops!$B$2:$B$7,MATCH(D105,Crops!$A$2:$A$7,0))</f>
        <v>Rice</v>
      </c>
      <c r="R105" s="9" t="str">
        <f>INDEX(Districts!$B$2:$B$6,MATCH(C105,Districts!$A$2:$A$6,0))</f>
        <v>Hohoe</v>
      </c>
    </row>
    <row r="106" spans="1:18">
      <c r="A106" t="s">
        <v>64</v>
      </c>
      <c r="B106" s="4">
        <v>45992</v>
      </c>
      <c r="C106" t="s">
        <v>45</v>
      </c>
      <c r="D106" t="s">
        <v>31</v>
      </c>
      <c r="E106">
        <v>7.4</v>
      </c>
      <c r="F106">
        <v>16807.599999999999</v>
      </c>
      <c r="G106">
        <v>2460.3000000000002</v>
      </c>
      <c r="H106">
        <v>14347.3</v>
      </c>
      <c r="I106" t="s">
        <v>70</v>
      </c>
      <c r="J106">
        <v>3.7</v>
      </c>
      <c r="K106">
        <v>11257.05</v>
      </c>
      <c r="L106">
        <f t="shared" si="5"/>
        <v>2271.2972972972971</v>
      </c>
      <c r="M106" s="8">
        <f t="shared" si="6"/>
        <v>0.14638020895309267</v>
      </c>
      <c r="N106" s="10">
        <f t="shared" si="7"/>
        <v>53085.01</v>
      </c>
      <c r="O106" s="10">
        <f t="shared" si="8"/>
        <v>41827.960000000006</v>
      </c>
      <c r="P106" s="9" t="str">
        <f t="shared" si="9"/>
        <v>OK</v>
      </c>
      <c r="Q106" s="9" t="str">
        <f>INDEX(Crops!$B$2:$B$7,MATCH(D106,Crops!$A$2:$A$7,0))</f>
        <v>Maize</v>
      </c>
      <c r="R106" s="9" t="str">
        <f>INDEX(Districts!$B$2:$B$6,MATCH(C106,Districts!$A$2:$A$6,0))</f>
        <v>Ejura</v>
      </c>
    </row>
    <row r="107" spans="1:18">
      <c r="A107" t="s">
        <v>156</v>
      </c>
      <c r="B107" s="4">
        <v>45919</v>
      </c>
      <c r="C107" t="s">
        <v>53</v>
      </c>
      <c r="D107" t="s">
        <v>31</v>
      </c>
      <c r="E107">
        <v>7.1</v>
      </c>
      <c r="F107">
        <v>10192.9</v>
      </c>
      <c r="G107">
        <v>1514.8</v>
      </c>
      <c r="H107">
        <v>8678.1</v>
      </c>
      <c r="I107" t="s">
        <v>67</v>
      </c>
      <c r="J107">
        <v>3.15</v>
      </c>
      <c r="K107">
        <v>10686.17</v>
      </c>
      <c r="L107">
        <f t="shared" si="5"/>
        <v>1435.6197183098591</v>
      </c>
      <c r="M107" s="8">
        <f t="shared" si="6"/>
        <v>0.14861325039978809</v>
      </c>
      <c r="N107" s="10">
        <f t="shared" si="7"/>
        <v>27336.014999999999</v>
      </c>
      <c r="O107" s="10">
        <f t="shared" si="8"/>
        <v>16649.845000000001</v>
      </c>
      <c r="P107" s="9" t="str">
        <f t="shared" si="9"/>
        <v>OK</v>
      </c>
      <c r="Q107" s="9" t="str">
        <f>INDEX(Crops!$B$2:$B$7,MATCH(D107,Crops!$A$2:$A$7,0))</f>
        <v>Maize</v>
      </c>
      <c r="R107" s="9" t="str">
        <f>INDEX(Districts!$B$2:$B$6,MATCH(C107,Districts!$A$2:$A$6,0))</f>
        <v>Hohoe</v>
      </c>
    </row>
    <row r="108" spans="1:18">
      <c r="A108" t="s">
        <v>136</v>
      </c>
      <c r="B108" s="4">
        <v>45910</v>
      </c>
      <c r="C108" t="s">
        <v>51</v>
      </c>
      <c r="D108" t="s">
        <v>41</v>
      </c>
      <c r="E108">
        <v>8.1</v>
      </c>
      <c r="F108">
        <v>61997.9</v>
      </c>
      <c r="G108">
        <v>7266.6</v>
      </c>
      <c r="H108">
        <v>54731.3</v>
      </c>
      <c r="I108" t="s">
        <v>77</v>
      </c>
      <c r="J108">
        <v>2.2799999999999998</v>
      </c>
      <c r="K108">
        <v>14139.15</v>
      </c>
      <c r="L108">
        <f t="shared" si="5"/>
        <v>7654.0617283950623</v>
      </c>
      <c r="M108" s="8">
        <f t="shared" si="6"/>
        <v>0.11720719572759723</v>
      </c>
      <c r="N108" s="10">
        <f t="shared" si="7"/>
        <v>124787.364</v>
      </c>
      <c r="O108" s="10">
        <f t="shared" si="8"/>
        <v>110648.21400000001</v>
      </c>
      <c r="P108" s="9" t="str">
        <f t="shared" si="9"/>
        <v>OK</v>
      </c>
      <c r="Q108" s="9" t="str">
        <f>INDEX(Crops!$B$2:$B$7,MATCH(D108,Crops!$A$2:$A$7,0))</f>
        <v>Cassava</v>
      </c>
      <c r="R108" s="9" t="str">
        <f>INDEX(Districts!$B$2:$B$6,MATCH(C108,Districts!$A$2:$A$6,0))</f>
        <v>Kintampo</v>
      </c>
    </row>
    <row r="109" spans="1:18">
      <c r="A109" t="s">
        <v>157</v>
      </c>
      <c r="B109" s="4">
        <v>45985</v>
      </c>
      <c r="C109" t="s">
        <v>49</v>
      </c>
      <c r="D109" t="s">
        <v>33</v>
      </c>
      <c r="E109">
        <v>9.5</v>
      </c>
      <c r="F109">
        <v>15368.5</v>
      </c>
      <c r="G109">
        <v>1801</v>
      </c>
      <c r="H109">
        <v>13567.5</v>
      </c>
      <c r="I109" t="s">
        <v>67</v>
      </c>
      <c r="J109">
        <v>5.96</v>
      </c>
      <c r="K109">
        <v>13336.61</v>
      </c>
      <c r="L109">
        <f t="shared" si="5"/>
        <v>1617.7368421052631</v>
      </c>
      <c r="M109" s="8">
        <f t="shared" si="6"/>
        <v>0.11718775417249569</v>
      </c>
      <c r="N109" s="10">
        <f t="shared" si="7"/>
        <v>80862.3</v>
      </c>
      <c r="O109" s="10">
        <f t="shared" si="8"/>
        <v>67525.69</v>
      </c>
      <c r="P109" s="9" t="str">
        <f t="shared" si="9"/>
        <v>OK</v>
      </c>
      <c r="Q109" s="9" t="str">
        <f>INDEX(Crops!$B$2:$B$7,MATCH(D109,Crops!$A$2:$A$7,0))</f>
        <v>Rice</v>
      </c>
      <c r="R109" s="9" t="str">
        <f>INDEX(Districts!$B$2:$B$6,MATCH(C109,Districts!$A$2:$A$6,0))</f>
        <v>Tamale Metro</v>
      </c>
    </row>
    <row r="110" spans="1:18">
      <c r="A110" t="s">
        <v>158</v>
      </c>
      <c r="B110" s="4">
        <v>46148</v>
      </c>
      <c r="C110" t="s">
        <v>49</v>
      </c>
      <c r="D110" t="s">
        <v>35</v>
      </c>
      <c r="E110">
        <v>3.9</v>
      </c>
      <c r="F110">
        <v>25562.6</v>
      </c>
      <c r="G110">
        <v>1374.7</v>
      </c>
      <c r="H110">
        <v>24187.9</v>
      </c>
      <c r="I110" t="s">
        <v>77</v>
      </c>
      <c r="J110">
        <v>6.11</v>
      </c>
      <c r="K110">
        <v>5490.85</v>
      </c>
      <c r="L110">
        <f t="shared" si="5"/>
        <v>6554.5128205128203</v>
      </c>
      <c r="M110" s="8">
        <f t="shared" si="6"/>
        <v>5.3777784732382469E-2</v>
      </c>
      <c r="N110" s="10">
        <f t="shared" si="7"/>
        <v>147788.06900000002</v>
      </c>
      <c r="O110" s="10">
        <f t="shared" si="8"/>
        <v>142297.21900000001</v>
      </c>
      <c r="P110" s="9" t="str">
        <f t="shared" si="9"/>
        <v>OK</v>
      </c>
      <c r="Q110" s="9" t="str">
        <f>INDEX(Crops!$B$2:$B$7,MATCH(D110,Crops!$A$2:$A$7,0))</f>
        <v>Tomato</v>
      </c>
      <c r="R110" s="9" t="str">
        <f>INDEX(Districts!$B$2:$B$6,MATCH(C110,Districts!$A$2:$A$6,0))</f>
        <v>Tamale Metro</v>
      </c>
    </row>
    <row r="111" spans="1:18">
      <c r="A111" t="s">
        <v>159</v>
      </c>
      <c r="B111" s="4">
        <v>46074</v>
      </c>
      <c r="C111" t="s">
        <v>51</v>
      </c>
      <c r="D111" t="s">
        <v>39</v>
      </c>
      <c r="E111">
        <v>10.7</v>
      </c>
      <c r="F111">
        <v>16223.2</v>
      </c>
      <c r="G111">
        <v>1040.0999999999999</v>
      </c>
      <c r="H111">
        <v>15183.1</v>
      </c>
      <c r="I111" t="s">
        <v>70</v>
      </c>
      <c r="J111">
        <v>4.5999999999999996</v>
      </c>
      <c r="K111">
        <v>9484.33</v>
      </c>
      <c r="L111">
        <f t="shared" si="5"/>
        <v>1516.1869158878505</v>
      </c>
      <c r="M111" s="8">
        <f t="shared" si="6"/>
        <v>6.41118891464076E-2</v>
      </c>
      <c r="N111" s="10">
        <f t="shared" si="7"/>
        <v>69842.259999999995</v>
      </c>
      <c r="O111" s="10">
        <f t="shared" si="8"/>
        <v>60357.929999999993</v>
      </c>
      <c r="P111" s="9" t="str">
        <f t="shared" si="9"/>
        <v>OK</v>
      </c>
      <c r="Q111" s="9" t="str">
        <f>INDEX(Crops!$B$2:$B$7,MATCH(D111,Crops!$A$2:$A$7,0))</f>
        <v>Soybean</v>
      </c>
      <c r="R111" s="9" t="str">
        <f>INDEX(Districts!$B$2:$B$6,MATCH(C111,Districts!$A$2:$A$6,0))</f>
        <v>Kintampo</v>
      </c>
    </row>
    <row r="112" spans="1:18">
      <c r="A112" t="s">
        <v>158</v>
      </c>
      <c r="B112" s="4">
        <v>46180</v>
      </c>
      <c r="C112" t="s">
        <v>49</v>
      </c>
      <c r="D112" t="s">
        <v>35</v>
      </c>
      <c r="E112">
        <v>12.1</v>
      </c>
      <c r="F112">
        <v>78950.600000000006</v>
      </c>
      <c r="G112">
        <v>8949.7000000000007</v>
      </c>
      <c r="H112">
        <v>70000.899999999994</v>
      </c>
      <c r="I112" t="s">
        <v>65</v>
      </c>
      <c r="J112">
        <v>6.21</v>
      </c>
      <c r="K112">
        <v>16289.33</v>
      </c>
      <c r="L112">
        <f t="shared" si="5"/>
        <v>6524.8429752066122</v>
      </c>
      <c r="M112" s="8">
        <f t="shared" si="6"/>
        <v>0.11335822653659378</v>
      </c>
      <c r="N112" s="10">
        <f t="shared" si="7"/>
        <v>434705.58899999998</v>
      </c>
      <c r="O112" s="10">
        <f t="shared" si="8"/>
        <v>418416.25899999996</v>
      </c>
      <c r="P112" s="9" t="str">
        <f t="shared" si="9"/>
        <v>OK</v>
      </c>
      <c r="Q112" s="9" t="str">
        <f>INDEX(Crops!$B$2:$B$7,MATCH(D112,Crops!$A$2:$A$7,0))</f>
        <v>Tomato</v>
      </c>
      <c r="R112" s="9" t="str">
        <f>INDEX(Districts!$B$2:$B$6,MATCH(C112,Districts!$A$2:$A$6,0))</f>
        <v>Tamale Metro</v>
      </c>
    </row>
    <row r="113" spans="1:18">
      <c r="A113" t="s">
        <v>160</v>
      </c>
      <c r="B113" s="4">
        <v>46045</v>
      </c>
      <c r="C113" t="s">
        <v>51</v>
      </c>
      <c r="D113" t="s">
        <v>37</v>
      </c>
      <c r="E113">
        <v>5</v>
      </c>
      <c r="F113">
        <v>26179.9</v>
      </c>
      <c r="G113">
        <v>859.2</v>
      </c>
      <c r="H113">
        <v>25320.7</v>
      </c>
      <c r="I113" t="s">
        <v>67</v>
      </c>
      <c r="J113">
        <v>9.2899999999999991</v>
      </c>
      <c r="K113">
        <v>8005.67</v>
      </c>
      <c r="L113">
        <f t="shared" si="5"/>
        <v>5235.9800000000005</v>
      </c>
      <c r="M113" s="8">
        <f t="shared" si="6"/>
        <v>3.2819071119446597E-2</v>
      </c>
      <c r="N113" s="10">
        <f t="shared" si="7"/>
        <v>235229.30299999999</v>
      </c>
      <c r="O113" s="10">
        <f t="shared" si="8"/>
        <v>227223.63299999997</v>
      </c>
      <c r="P113" s="9" t="str">
        <f t="shared" si="9"/>
        <v>OK</v>
      </c>
      <c r="Q113" s="9" t="str">
        <f>INDEX(Crops!$B$2:$B$7,MATCH(D113,Crops!$A$2:$A$7,0))</f>
        <v>Pepper</v>
      </c>
      <c r="R113" s="9" t="str">
        <f>INDEX(Districts!$B$2:$B$6,MATCH(C113,Districts!$A$2:$A$6,0))</f>
        <v>Kintampo</v>
      </c>
    </row>
    <row r="114" spans="1:18">
      <c r="A114" t="s">
        <v>148</v>
      </c>
      <c r="B114" s="4">
        <v>45857</v>
      </c>
      <c r="C114" t="s">
        <v>53</v>
      </c>
      <c r="D114" t="s">
        <v>31</v>
      </c>
      <c r="E114">
        <v>3.3</v>
      </c>
      <c r="F114">
        <v>4391.8999999999996</v>
      </c>
      <c r="G114">
        <v>664.5</v>
      </c>
      <c r="H114">
        <v>3727.4</v>
      </c>
      <c r="I114" t="s">
        <v>65</v>
      </c>
      <c r="J114">
        <v>3.42</v>
      </c>
      <c r="K114">
        <v>4921.7299999999996</v>
      </c>
      <c r="L114">
        <f t="shared" si="5"/>
        <v>1330.8787878787878</v>
      </c>
      <c r="M114" s="8">
        <f t="shared" si="6"/>
        <v>0.15130125913613698</v>
      </c>
      <c r="N114" s="10">
        <f t="shared" si="7"/>
        <v>12747.708000000001</v>
      </c>
      <c r="O114" s="10">
        <f t="shared" si="8"/>
        <v>7825.978000000001</v>
      </c>
      <c r="P114" s="9" t="str">
        <f t="shared" si="9"/>
        <v>OK</v>
      </c>
      <c r="Q114" s="9" t="str">
        <f>INDEX(Crops!$B$2:$B$7,MATCH(D114,Crops!$A$2:$A$7,0))</f>
        <v>Maize</v>
      </c>
      <c r="R114" s="9" t="str">
        <f>INDEX(Districts!$B$2:$B$6,MATCH(C114,Districts!$A$2:$A$6,0))</f>
        <v>Hohoe</v>
      </c>
    </row>
    <row r="115" spans="1:18">
      <c r="A115" t="s">
        <v>161</v>
      </c>
      <c r="B115" s="4">
        <v>46110</v>
      </c>
      <c r="C115" t="s">
        <v>49</v>
      </c>
      <c r="D115" t="s">
        <v>35</v>
      </c>
      <c r="E115">
        <v>6.3</v>
      </c>
      <c r="F115">
        <v>45244.3</v>
      </c>
      <c r="G115">
        <v>4081.1</v>
      </c>
      <c r="H115">
        <v>41163.199999999997</v>
      </c>
      <c r="I115" t="s">
        <v>67</v>
      </c>
      <c r="J115">
        <v>5.68</v>
      </c>
      <c r="K115">
        <v>6153.39</v>
      </c>
      <c r="L115">
        <f t="shared" si="5"/>
        <v>7181.6349206349214</v>
      </c>
      <c r="M115" s="8">
        <f t="shared" si="6"/>
        <v>9.020141763713882E-2</v>
      </c>
      <c r="N115" s="10">
        <f t="shared" si="7"/>
        <v>233806.97599999997</v>
      </c>
      <c r="O115" s="10">
        <f t="shared" si="8"/>
        <v>227653.58599999995</v>
      </c>
      <c r="P115" s="9" t="str">
        <f t="shared" si="9"/>
        <v>OK</v>
      </c>
      <c r="Q115" s="9" t="str">
        <f>INDEX(Crops!$B$2:$B$7,MATCH(D115,Crops!$A$2:$A$7,0))</f>
        <v>Tomato</v>
      </c>
      <c r="R115" s="9" t="str">
        <f>INDEX(Districts!$B$2:$B$6,MATCH(C115,Districts!$A$2:$A$6,0))</f>
        <v>Tamale Metro</v>
      </c>
    </row>
    <row r="116" spans="1:18">
      <c r="A116" t="s">
        <v>162</v>
      </c>
      <c r="B116" s="4">
        <v>46047</v>
      </c>
      <c r="C116" t="s">
        <v>53</v>
      </c>
      <c r="D116" t="s">
        <v>33</v>
      </c>
      <c r="E116">
        <v>1.5</v>
      </c>
      <c r="F116">
        <v>3493.6</v>
      </c>
      <c r="G116">
        <v>307</v>
      </c>
      <c r="H116">
        <v>3186.6</v>
      </c>
      <c r="I116" t="s">
        <v>70</v>
      </c>
      <c r="J116">
        <v>5.62</v>
      </c>
      <c r="K116">
        <v>2356.58</v>
      </c>
      <c r="L116">
        <f t="shared" si="5"/>
        <v>2329.0666666666666</v>
      </c>
      <c r="M116" s="8">
        <f t="shared" si="6"/>
        <v>8.787497137623082E-2</v>
      </c>
      <c r="N116" s="10">
        <f t="shared" si="7"/>
        <v>17908.691999999999</v>
      </c>
      <c r="O116" s="10">
        <f t="shared" si="8"/>
        <v>15552.111999999999</v>
      </c>
      <c r="P116" s="9" t="str">
        <f t="shared" si="9"/>
        <v>OK</v>
      </c>
      <c r="Q116" s="9" t="str">
        <f>INDEX(Crops!$B$2:$B$7,MATCH(D116,Crops!$A$2:$A$7,0))</f>
        <v>Rice</v>
      </c>
      <c r="R116" s="9" t="str">
        <f>INDEX(Districts!$B$2:$B$6,MATCH(C116,Districts!$A$2:$A$6,0))</f>
        <v>Hohoe</v>
      </c>
    </row>
    <row r="117" spans="1:18">
      <c r="A117" t="s">
        <v>112</v>
      </c>
      <c r="B117" s="4">
        <v>46156</v>
      </c>
      <c r="C117" t="s">
        <v>49</v>
      </c>
      <c r="D117" t="s">
        <v>39</v>
      </c>
      <c r="E117">
        <v>10.1</v>
      </c>
      <c r="F117">
        <v>15643.6</v>
      </c>
      <c r="G117">
        <v>762.7</v>
      </c>
      <c r="H117">
        <v>14880.9</v>
      </c>
      <c r="I117" t="s">
        <v>67</v>
      </c>
      <c r="J117">
        <v>4.22</v>
      </c>
      <c r="K117">
        <v>17353.84</v>
      </c>
      <c r="L117">
        <f t="shared" si="5"/>
        <v>1548.871287128713</v>
      </c>
      <c r="M117" s="8">
        <f t="shared" si="6"/>
        <v>4.875476233092127E-2</v>
      </c>
      <c r="N117" s="10">
        <f t="shared" si="7"/>
        <v>62797.397999999994</v>
      </c>
      <c r="O117" s="10">
        <f t="shared" si="8"/>
        <v>45443.55799999999</v>
      </c>
      <c r="P117" s="9" t="str">
        <f t="shared" si="9"/>
        <v>OK</v>
      </c>
      <c r="Q117" s="9" t="str">
        <f>INDEX(Crops!$B$2:$B$7,MATCH(D117,Crops!$A$2:$A$7,0))</f>
        <v>Soybean</v>
      </c>
      <c r="R117" s="9" t="str">
        <f>INDEX(Districts!$B$2:$B$6,MATCH(C117,Districts!$A$2:$A$6,0))</f>
        <v>Tamale Metro</v>
      </c>
    </row>
    <row r="118" spans="1:18">
      <c r="A118" t="s">
        <v>116</v>
      </c>
      <c r="B118" s="4">
        <v>45856</v>
      </c>
      <c r="C118" t="s">
        <v>47</v>
      </c>
      <c r="D118" t="s">
        <v>41</v>
      </c>
      <c r="E118">
        <v>1.4</v>
      </c>
      <c r="F118">
        <v>5757</v>
      </c>
      <c r="G118">
        <v>617.6</v>
      </c>
      <c r="H118">
        <v>5139.3999999999996</v>
      </c>
      <c r="I118" t="s">
        <v>70</v>
      </c>
      <c r="J118">
        <v>2.23</v>
      </c>
      <c r="K118">
        <v>2055.44</v>
      </c>
      <c r="L118">
        <f t="shared" si="5"/>
        <v>4112.1428571428578</v>
      </c>
      <c r="M118" s="8">
        <f t="shared" si="6"/>
        <v>0.1072780962306757</v>
      </c>
      <c r="N118" s="10">
        <f t="shared" si="7"/>
        <v>11460.861999999999</v>
      </c>
      <c r="O118" s="10">
        <f t="shared" si="8"/>
        <v>9405.4219999999987</v>
      </c>
      <c r="P118" s="9" t="str">
        <f t="shared" si="9"/>
        <v>OK</v>
      </c>
      <c r="Q118" s="9" t="str">
        <f>INDEX(Crops!$B$2:$B$7,MATCH(D118,Crops!$A$2:$A$7,0))</f>
        <v>Cassava</v>
      </c>
      <c r="R118" s="9" t="str">
        <f>INDEX(Districts!$B$2:$B$6,MATCH(C118,Districts!$A$2:$A$6,0))</f>
        <v>Techiman</v>
      </c>
    </row>
    <row r="119" spans="1:18">
      <c r="A119" t="s">
        <v>163</v>
      </c>
      <c r="B119" s="4">
        <v>46046</v>
      </c>
      <c r="C119" t="s">
        <v>45</v>
      </c>
      <c r="D119" t="s">
        <v>39</v>
      </c>
      <c r="E119">
        <v>10</v>
      </c>
      <c r="F119">
        <v>14535.8</v>
      </c>
      <c r="G119">
        <v>2090.9</v>
      </c>
      <c r="H119">
        <v>12444.9</v>
      </c>
      <c r="I119" t="s">
        <v>67</v>
      </c>
      <c r="J119">
        <v>4.07</v>
      </c>
      <c r="K119">
        <v>11734.64</v>
      </c>
      <c r="L119">
        <f t="shared" si="5"/>
        <v>1453.58</v>
      </c>
      <c r="M119" s="8">
        <f t="shared" si="6"/>
        <v>0.14384485202052863</v>
      </c>
      <c r="N119" s="10">
        <f t="shared" si="7"/>
        <v>50650.743000000002</v>
      </c>
      <c r="O119" s="10">
        <f t="shared" si="8"/>
        <v>38916.103000000003</v>
      </c>
      <c r="P119" s="9" t="str">
        <f t="shared" si="9"/>
        <v>OK</v>
      </c>
      <c r="Q119" s="9" t="str">
        <f>INDEX(Crops!$B$2:$B$7,MATCH(D119,Crops!$A$2:$A$7,0))</f>
        <v>Soybean</v>
      </c>
      <c r="R119" s="9" t="str">
        <f>INDEX(Districts!$B$2:$B$6,MATCH(C119,Districts!$A$2:$A$6,0))</f>
        <v>Ejura</v>
      </c>
    </row>
    <row r="120" spans="1:18">
      <c r="A120" t="s">
        <v>154</v>
      </c>
      <c r="B120" s="4">
        <v>46138</v>
      </c>
      <c r="C120" t="s">
        <v>47</v>
      </c>
      <c r="D120" t="s">
        <v>39</v>
      </c>
      <c r="E120">
        <v>14</v>
      </c>
      <c r="F120">
        <v>21533.3</v>
      </c>
      <c r="G120">
        <v>1646.6</v>
      </c>
      <c r="H120">
        <v>19886.7</v>
      </c>
      <c r="I120" t="s">
        <v>70</v>
      </c>
      <c r="J120">
        <v>4.63</v>
      </c>
      <c r="K120">
        <v>18808.02</v>
      </c>
      <c r="L120">
        <f t="shared" si="5"/>
        <v>1538.0928571428572</v>
      </c>
      <c r="M120" s="8">
        <f t="shared" si="6"/>
        <v>7.6467610630976207E-2</v>
      </c>
      <c r="N120" s="10">
        <f t="shared" si="7"/>
        <v>92075.421000000002</v>
      </c>
      <c r="O120" s="10">
        <f t="shared" si="8"/>
        <v>73267.400999999998</v>
      </c>
      <c r="P120" s="9" t="str">
        <f t="shared" si="9"/>
        <v>OK</v>
      </c>
      <c r="Q120" s="9" t="str">
        <f>INDEX(Crops!$B$2:$B$7,MATCH(D120,Crops!$A$2:$A$7,0))</f>
        <v>Soybean</v>
      </c>
      <c r="R120" s="9" t="str">
        <f>INDEX(Districts!$B$2:$B$6,MATCH(C120,Districts!$A$2:$A$6,0))</f>
        <v>Techiman</v>
      </c>
    </row>
    <row r="121" spans="1:18">
      <c r="A121" t="s">
        <v>164</v>
      </c>
      <c r="B121" s="4">
        <v>46029</v>
      </c>
      <c r="C121" t="s">
        <v>51</v>
      </c>
      <c r="D121" t="s">
        <v>31</v>
      </c>
      <c r="E121">
        <v>13.9</v>
      </c>
      <c r="F121">
        <v>29270.5</v>
      </c>
      <c r="G121">
        <v>1449.8</v>
      </c>
      <c r="H121">
        <v>27820.7</v>
      </c>
      <c r="I121" t="s">
        <v>77</v>
      </c>
      <c r="J121">
        <v>3.59</v>
      </c>
      <c r="K121">
        <v>13412.34</v>
      </c>
      <c r="L121">
        <f t="shared" si="5"/>
        <v>2105.7913669064747</v>
      </c>
      <c r="M121" s="8">
        <f t="shared" si="6"/>
        <v>4.953109786303616E-2</v>
      </c>
      <c r="N121" s="10">
        <f t="shared" si="7"/>
        <v>99876.312999999995</v>
      </c>
      <c r="O121" s="10">
        <f t="shared" si="8"/>
        <v>86463.972999999998</v>
      </c>
      <c r="P121" s="9" t="str">
        <f t="shared" si="9"/>
        <v>OK</v>
      </c>
      <c r="Q121" s="9" t="str">
        <f>INDEX(Crops!$B$2:$B$7,MATCH(D121,Crops!$A$2:$A$7,0))</f>
        <v>Maize</v>
      </c>
      <c r="R121" s="9" t="str">
        <f>INDEX(Districts!$B$2:$B$6,MATCH(C121,Districts!$A$2:$A$6,0))</f>
        <v>Kintampo</v>
      </c>
    </row>
    <row r="122" spans="1:18">
      <c r="A122" t="s">
        <v>165</v>
      </c>
      <c r="B122" s="4">
        <v>45896</v>
      </c>
      <c r="C122" t="s">
        <v>45</v>
      </c>
      <c r="D122" t="s">
        <v>35</v>
      </c>
      <c r="E122">
        <v>4.8</v>
      </c>
      <c r="F122">
        <v>45048.6</v>
      </c>
      <c r="G122">
        <v>6279.7</v>
      </c>
      <c r="H122">
        <v>38768.9</v>
      </c>
      <c r="I122" t="s">
        <v>142</v>
      </c>
      <c r="J122">
        <v>7.78</v>
      </c>
      <c r="K122">
        <v>8453.7800000000007</v>
      </c>
      <c r="L122">
        <f t="shared" si="5"/>
        <v>9385.125</v>
      </c>
      <c r="M122" s="8">
        <f t="shared" si="6"/>
        <v>0.13939833868311113</v>
      </c>
      <c r="N122" s="10">
        <f t="shared" si="7"/>
        <v>301622.04200000002</v>
      </c>
      <c r="O122" s="10">
        <f t="shared" si="8"/>
        <v>293168.26199999999</v>
      </c>
      <c r="P122" s="9" t="str">
        <f t="shared" si="9"/>
        <v>OK</v>
      </c>
      <c r="Q122" s="9" t="str">
        <f>INDEX(Crops!$B$2:$B$7,MATCH(D122,Crops!$A$2:$A$7,0))</f>
        <v>Tomato</v>
      </c>
      <c r="R122" s="9" t="str">
        <f>INDEX(Districts!$B$2:$B$6,MATCH(C122,Districts!$A$2:$A$6,0))</f>
        <v>Ejura</v>
      </c>
    </row>
    <row r="123" spans="1:18">
      <c r="A123" t="s">
        <v>166</v>
      </c>
      <c r="B123" s="4">
        <v>45907</v>
      </c>
      <c r="C123" t="s">
        <v>49</v>
      </c>
      <c r="D123" t="s">
        <v>35</v>
      </c>
      <c r="E123">
        <v>12.4</v>
      </c>
      <c r="F123">
        <v>124240.6</v>
      </c>
      <c r="G123">
        <v>17907.8</v>
      </c>
      <c r="H123">
        <v>106332.8</v>
      </c>
      <c r="I123" t="s">
        <v>65</v>
      </c>
      <c r="J123">
        <v>5.53</v>
      </c>
      <c r="K123">
        <v>21112.47</v>
      </c>
      <c r="L123">
        <f t="shared" si="5"/>
        <v>10019.403225806453</v>
      </c>
      <c r="M123" s="8">
        <f t="shared" si="6"/>
        <v>0.1441380675882119</v>
      </c>
      <c r="N123" s="10">
        <f t="shared" si="7"/>
        <v>588020.38400000008</v>
      </c>
      <c r="O123" s="10">
        <f t="shared" si="8"/>
        <v>566907.91400000011</v>
      </c>
      <c r="P123" s="9" t="str">
        <f t="shared" si="9"/>
        <v>OK</v>
      </c>
      <c r="Q123" s="9" t="str">
        <f>INDEX(Crops!$B$2:$B$7,MATCH(D123,Crops!$A$2:$A$7,0))</f>
        <v>Tomato</v>
      </c>
      <c r="R123" s="9" t="str">
        <f>INDEX(Districts!$B$2:$B$6,MATCH(C123,Districts!$A$2:$A$6,0))</f>
        <v>Tamale Metro</v>
      </c>
    </row>
    <row r="124" spans="1:18">
      <c r="A124" t="s">
        <v>129</v>
      </c>
      <c r="B124" s="4">
        <v>45856</v>
      </c>
      <c r="C124" t="s">
        <v>45</v>
      </c>
      <c r="D124" t="s">
        <v>31</v>
      </c>
      <c r="E124">
        <v>4.8</v>
      </c>
      <c r="F124">
        <v>9505.6</v>
      </c>
      <c r="G124">
        <v>1135.7</v>
      </c>
      <c r="H124">
        <v>8369.9</v>
      </c>
      <c r="I124" t="s">
        <v>65</v>
      </c>
      <c r="J124">
        <v>3.77</v>
      </c>
      <c r="K124">
        <v>6090.88</v>
      </c>
      <c r="L124">
        <f t="shared" si="5"/>
        <v>1980.3333333333335</v>
      </c>
      <c r="M124" s="8">
        <f t="shared" si="6"/>
        <v>0.11947693990910621</v>
      </c>
      <c r="N124" s="10">
        <f t="shared" si="7"/>
        <v>31554.522999999997</v>
      </c>
      <c r="O124" s="10">
        <f t="shared" si="8"/>
        <v>25463.642999999996</v>
      </c>
      <c r="P124" s="9" t="str">
        <f t="shared" si="9"/>
        <v>OK</v>
      </c>
      <c r="Q124" s="9" t="str">
        <f>INDEX(Crops!$B$2:$B$7,MATCH(D124,Crops!$A$2:$A$7,0))</f>
        <v>Maize</v>
      </c>
      <c r="R124" s="9" t="str">
        <f>INDEX(Districts!$B$2:$B$6,MATCH(C124,Districts!$A$2:$A$6,0))</f>
        <v>Ejura</v>
      </c>
    </row>
    <row r="125" spans="1:18">
      <c r="A125" t="s">
        <v>167</v>
      </c>
      <c r="B125" s="4">
        <v>45911</v>
      </c>
      <c r="C125" t="s">
        <v>49</v>
      </c>
      <c r="D125" t="s">
        <v>37</v>
      </c>
      <c r="E125">
        <v>10.1</v>
      </c>
      <c r="F125">
        <v>44194.7</v>
      </c>
      <c r="G125">
        <v>4442.5</v>
      </c>
      <c r="H125">
        <v>39752.199999999997</v>
      </c>
      <c r="I125" t="s">
        <v>70</v>
      </c>
      <c r="J125">
        <v>8.18</v>
      </c>
      <c r="K125">
        <v>16461.939999999999</v>
      </c>
      <c r="L125">
        <f t="shared" si="5"/>
        <v>4375.712871287129</v>
      </c>
      <c r="M125" s="8">
        <f t="shared" si="6"/>
        <v>0.10052110320920835</v>
      </c>
      <c r="N125" s="10">
        <f t="shared" si="7"/>
        <v>325172.99599999998</v>
      </c>
      <c r="O125" s="10">
        <f t="shared" si="8"/>
        <v>308711.05599999998</v>
      </c>
      <c r="P125" s="9" t="str">
        <f t="shared" si="9"/>
        <v>OK</v>
      </c>
      <c r="Q125" s="9" t="str">
        <f>INDEX(Crops!$B$2:$B$7,MATCH(D125,Crops!$A$2:$A$7,0))</f>
        <v>Pepper</v>
      </c>
      <c r="R125" s="9" t="str">
        <f>INDEX(Districts!$B$2:$B$6,MATCH(C125,Districts!$A$2:$A$6,0))</f>
        <v>Tamale Metro</v>
      </c>
    </row>
    <row r="126" spans="1:18">
      <c r="A126" t="s">
        <v>168</v>
      </c>
      <c r="B126" s="4">
        <v>46058</v>
      </c>
      <c r="C126" t="s">
        <v>53</v>
      </c>
      <c r="D126" t="s">
        <v>37</v>
      </c>
      <c r="E126">
        <v>6.6</v>
      </c>
      <c r="F126">
        <v>30360.7</v>
      </c>
      <c r="G126">
        <v>4155.6000000000004</v>
      </c>
      <c r="H126">
        <v>26205.1</v>
      </c>
      <c r="I126" t="s">
        <v>65</v>
      </c>
      <c r="J126">
        <v>10.3</v>
      </c>
      <c r="K126">
        <v>6719.64</v>
      </c>
      <c r="L126">
        <f t="shared" si="5"/>
        <v>4600.106060606061</v>
      </c>
      <c r="M126" s="8">
        <f t="shared" si="6"/>
        <v>0.13687431449209012</v>
      </c>
      <c r="N126" s="10">
        <f t="shared" si="7"/>
        <v>269912.53000000003</v>
      </c>
      <c r="O126" s="10">
        <f t="shared" si="8"/>
        <v>263192.89</v>
      </c>
      <c r="P126" s="9" t="str">
        <f t="shared" si="9"/>
        <v>OK</v>
      </c>
      <c r="Q126" s="9" t="str">
        <f>INDEX(Crops!$B$2:$B$7,MATCH(D126,Crops!$A$2:$A$7,0))</f>
        <v>Pepper</v>
      </c>
      <c r="R126" s="9" t="str">
        <f>INDEX(Districts!$B$2:$B$6,MATCH(C126,Districts!$A$2:$A$6,0))</f>
        <v>Hohoe</v>
      </c>
    </row>
    <row r="127" spans="1:18">
      <c r="A127" t="s">
        <v>169</v>
      </c>
      <c r="B127" s="4">
        <v>45938</v>
      </c>
      <c r="C127" t="s">
        <v>47</v>
      </c>
      <c r="D127" t="s">
        <v>41</v>
      </c>
      <c r="E127">
        <v>12.6</v>
      </c>
      <c r="F127">
        <v>94432.7</v>
      </c>
      <c r="G127">
        <v>8360.2000000000007</v>
      </c>
      <c r="H127">
        <v>86072.5</v>
      </c>
      <c r="I127" t="s">
        <v>77</v>
      </c>
      <c r="J127">
        <v>2.16</v>
      </c>
      <c r="K127">
        <v>10069.48</v>
      </c>
      <c r="L127">
        <f t="shared" si="5"/>
        <v>7494.6587301587306</v>
      </c>
      <c r="M127" s="8">
        <f t="shared" si="6"/>
        <v>8.8530773767985044E-2</v>
      </c>
      <c r="N127" s="10">
        <f t="shared" si="7"/>
        <v>185916.6</v>
      </c>
      <c r="O127" s="10">
        <f t="shared" si="8"/>
        <v>175847.12</v>
      </c>
      <c r="P127" s="9" t="str">
        <f t="shared" si="9"/>
        <v>OK</v>
      </c>
      <c r="Q127" s="9" t="str">
        <f>INDEX(Crops!$B$2:$B$7,MATCH(D127,Crops!$A$2:$A$7,0))</f>
        <v>Cassava</v>
      </c>
      <c r="R127" s="9" t="str">
        <f>INDEX(Districts!$B$2:$B$6,MATCH(C127,Districts!$A$2:$A$6,0))</f>
        <v>Techiman</v>
      </c>
    </row>
    <row r="128" spans="1:18">
      <c r="A128" t="s">
        <v>84</v>
      </c>
      <c r="B128" s="4">
        <v>45897</v>
      </c>
      <c r="C128" t="s">
        <v>45</v>
      </c>
      <c r="D128" t="s">
        <v>33</v>
      </c>
      <c r="E128">
        <v>4.8</v>
      </c>
      <c r="F128">
        <v>12061.5</v>
      </c>
      <c r="G128">
        <v>1792.3</v>
      </c>
      <c r="H128">
        <v>10269.200000000001</v>
      </c>
      <c r="I128" t="s">
        <v>67</v>
      </c>
      <c r="J128">
        <v>6.86</v>
      </c>
      <c r="K128">
        <v>3145.36</v>
      </c>
      <c r="L128">
        <f t="shared" si="5"/>
        <v>2512.8125</v>
      </c>
      <c r="M128" s="8">
        <f t="shared" si="6"/>
        <v>0.14859677486216474</v>
      </c>
      <c r="N128" s="10">
        <f t="shared" si="7"/>
        <v>70446.712000000014</v>
      </c>
      <c r="O128" s="10">
        <f t="shared" si="8"/>
        <v>67301.352000000014</v>
      </c>
      <c r="P128" s="9" t="str">
        <f t="shared" si="9"/>
        <v>OK</v>
      </c>
      <c r="Q128" s="9" t="str">
        <f>INDEX(Crops!$B$2:$B$7,MATCH(D128,Crops!$A$2:$A$7,0))</f>
        <v>Rice</v>
      </c>
      <c r="R128" s="9" t="str">
        <f>INDEX(Districts!$B$2:$B$6,MATCH(C128,Districts!$A$2:$A$6,0))</f>
        <v>Ejura</v>
      </c>
    </row>
    <row r="129" spans="1:18">
      <c r="A129" t="s">
        <v>121</v>
      </c>
      <c r="B129" s="4">
        <v>46066</v>
      </c>
      <c r="C129" t="s">
        <v>45</v>
      </c>
      <c r="D129" t="s">
        <v>33</v>
      </c>
      <c r="E129">
        <v>8.4</v>
      </c>
      <c r="F129">
        <v>13240.8</v>
      </c>
      <c r="G129">
        <v>499.8</v>
      </c>
      <c r="H129">
        <v>12741</v>
      </c>
      <c r="I129" t="s">
        <v>77</v>
      </c>
      <c r="J129">
        <v>6.95</v>
      </c>
      <c r="K129">
        <v>14527.34</v>
      </c>
      <c r="L129">
        <f t="shared" si="5"/>
        <v>1576.2857142857142</v>
      </c>
      <c r="M129" s="8">
        <f t="shared" si="6"/>
        <v>3.7746963929671924E-2</v>
      </c>
      <c r="N129" s="10">
        <f t="shared" si="7"/>
        <v>88549.95</v>
      </c>
      <c r="O129" s="10">
        <f t="shared" si="8"/>
        <v>74022.61</v>
      </c>
      <c r="P129" s="9" t="str">
        <f t="shared" si="9"/>
        <v>OK</v>
      </c>
      <c r="Q129" s="9" t="str">
        <f>INDEX(Crops!$B$2:$B$7,MATCH(D129,Crops!$A$2:$A$7,0))</f>
        <v>Rice</v>
      </c>
      <c r="R129" s="9" t="str">
        <f>INDEX(Districts!$B$2:$B$6,MATCH(C129,Districts!$A$2:$A$6,0))</f>
        <v>Ejura</v>
      </c>
    </row>
    <row r="130" spans="1:18">
      <c r="A130" t="s">
        <v>170</v>
      </c>
      <c r="B130" s="4">
        <v>45849</v>
      </c>
      <c r="C130" t="s">
        <v>47</v>
      </c>
      <c r="D130" t="s">
        <v>33</v>
      </c>
      <c r="E130">
        <v>2.7</v>
      </c>
      <c r="F130">
        <v>7951.3</v>
      </c>
      <c r="G130">
        <v>1240.5999999999999</v>
      </c>
      <c r="H130">
        <v>6710.7</v>
      </c>
      <c r="I130" t="s">
        <v>67</v>
      </c>
      <c r="J130">
        <v>5.08</v>
      </c>
      <c r="K130">
        <v>1957.27</v>
      </c>
      <c r="L130">
        <f t="shared" ref="L130:L193" si="10">F130/E130</f>
        <v>2944.9259259259256</v>
      </c>
      <c r="M130" s="8">
        <f t="shared" ref="M130:M193" si="11">G130/F130</f>
        <v>0.15602480097594101</v>
      </c>
      <c r="N130" s="10">
        <f t="shared" ref="N130:N193" si="12">H130*J130</f>
        <v>34090.356</v>
      </c>
      <c r="O130" s="10">
        <f t="shared" ref="O130:O193" si="13">N130-K130</f>
        <v>32133.085999999999</v>
      </c>
      <c r="P130" s="9" t="str">
        <f t="shared" ref="P130:P193" si="14">IF(H130+G130&gt;F130,"CHECK: Sold+Loss &gt; Harvest","OK")</f>
        <v>OK</v>
      </c>
      <c r="Q130" s="9" t="str">
        <f>INDEX(Crops!$B$2:$B$7,MATCH(D130,Crops!$A$2:$A$7,0))</f>
        <v>Rice</v>
      </c>
      <c r="R130" s="9" t="str">
        <f>INDEX(Districts!$B$2:$B$6,MATCH(C130,Districts!$A$2:$A$6,0))</f>
        <v>Techiman</v>
      </c>
    </row>
    <row r="131" spans="1:18">
      <c r="A131" t="s">
        <v>82</v>
      </c>
      <c r="B131" s="4">
        <v>45850</v>
      </c>
      <c r="C131" t="s">
        <v>47</v>
      </c>
      <c r="D131" t="s">
        <v>37</v>
      </c>
      <c r="E131">
        <v>9.3000000000000007</v>
      </c>
      <c r="F131">
        <v>43248.1</v>
      </c>
      <c r="G131">
        <v>1413.8</v>
      </c>
      <c r="H131">
        <v>41834.300000000003</v>
      </c>
      <c r="I131" t="s">
        <v>77</v>
      </c>
      <c r="J131">
        <v>8.68</v>
      </c>
      <c r="K131">
        <v>6496.47</v>
      </c>
      <c r="L131">
        <f t="shared" si="10"/>
        <v>4650.333333333333</v>
      </c>
      <c r="M131" s="8">
        <f t="shared" si="11"/>
        <v>3.2690453453446511E-2</v>
      </c>
      <c r="N131" s="10">
        <f t="shared" si="12"/>
        <v>363121.72399999999</v>
      </c>
      <c r="O131" s="10">
        <f t="shared" si="13"/>
        <v>356625.25400000002</v>
      </c>
      <c r="P131" s="9" t="str">
        <f t="shared" si="14"/>
        <v>OK</v>
      </c>
      <c r="Q131" s="9" t="str">
        <f>INDEX(Crops!$B$2:$B$7,MATCH(D131,Crops!$A$2:$A$7,0))</f>
        <v>Pepper</v>
      </c>
      <c r="R131" s="9" t="str">
        <f>INDEX(Districts!$B$2:$B$6,MATCH(C131,Districts!$A$2:$A$6,0))</f>
        <v>Techiman</v>
      </c>
    </row>
    <row r="132" spans="1:18">
      <c r="A132" t="s">
        <v>85</v>
      </c>
      <c r="B132" s="4">
        <v>45992</v>
      </c>
      <c r="C132" t="s">
        <v>49</v>
      </c>
      <c r="D132" t="s">
        <v>35</v>
      </c>
      <c r="E132">
        <v>9.5</v>
      </c>
      <c r="F132">
        <v>93364.3</v>
      </c>
      <c r="G132">
        <v>7403.5</v>
      </c>
      <c r="H132">
        <v>85960.8</v>
      </c>
      <c r="I132" t="s">
        <v>70</v>
      </c>
      <c r="J132">
        <v>6.19</v>
      </c>
      <c r="K132">
        <v>6878.17</v>
      </c>
      <c r="L132">
        <f t="shared" si="10"/>
        <v>9827.8210526315797</v>
      </c>
      <c r="M132" s="8">
        <f t="shared" si="11"/>
        <v>7.9296904705545901E-2</v>
      </c>
      <c r="N132" s="10">
        <f t="shared" si="12"/>
        <v>532097.35200000007</v>
      </c>
      <c r="O132" s="10">
        <f t="shared" si="13"/>
        <v>525219.18200000003</v>
      </c>
      <c r="P132" s="9" t="str">
        <f t="shared" si="14"/>
        <v>OK</v>
      </c>
      <c r="Q132" s="9" t="str">
        <f>INDEX(Crops!$B$2:$B$7,MATCH(D132,Crops!$A$2:$A$7,0))</f>
        <v>Tomato</v>
      </c>
      <c r="R132" s="9" t="str">
        <f>INDEX(Districts!$B$2:$B$6,MATCH(C132,Districts!$A$2:$A$6,0))</f>
        <v>Tamale Metro</v>
      </c>
    </row>
    <row r="133" spans="1:18">
      <c r="A133" t="s">
        <v>171</v>
      </c>
      <c r="B133" s="4">
        <v>46113</v>
      </c>
      <c r="C133" t="s">
        <v>45</v>
      </c>
      <c r="D133" t="s">
        <v>31</v>
      </c>
      <c r="E133">
        <v>5.8</v>
      </c>
      <c r="F133">
        <v>7454.1</v>
      </c>
      <c r="G133">
        <v>815.1</v>
      </c>
      <c r="H133">
        <v>6639</v>
      </c>
      <c r="I133" t="s">
        <v>77</v>
      </c>
      <c r="J133">
        <v>3.7</v>
      </c>
      <c r="K133">
        <v>9408.8700000000008</v>
      </c>
      <c r="L133">
        <f t="shared" si="10"/>
        <v>1285.1896551724139</v>
      </c>
      <c r="M133" s="8">
        <f t="shared" si="11"/>
        <v>0.10934921720932105</v>
      </c>
      <c r="N133" s="10">
        <f t="shared" si="12"/>
        <v>24564.300000000003</v>
      </c>
      <c r="O133" s="10">
        <f t="shared" si="13"/>
        <v>15155.430000000002</v>
      </c>
      <c r="P133" s="9" t="str">
        <f t="shared" si="14"/>
        <v>OK</v>
      </c>
      <c r="Q133" s="9" t="str">
        <f>INDEX(Crops!$B$2:$B$7,MATCH(D133,Crops!$A$2:$A$7,0))</f>
        <v>Maize</v>
      </c>
      <c r="R133" s="9" t="str">
        <f>INDEX(Districts!$B$2:$B$6,MATCH(C133,Districts!$A$2:$A$6,0))</f>
        <v>Ejura</v>
      </c>
    </row>
    <row r="134" spans="1:18">
      <c r="A134" t="s">
        <v>96</v>
      </c>
      <c r="B134" s="4">
        <v>45944</v>
      </c>
      <c r="C134" t="s">
        <v>53</v>
      </c>
      <c r="D134" t="s">
        <v>33</v>
      </c>
      <c r="E134">
        <v>3.6</v>
      </c>
      <c r="F134">
        <v>8468.6</v>
      </c>
      <c r="G134">
        <v>822.2</v>
      </c>
      <c r="H134">
        <v>7646.4</v>
      </c>
      <c r="I134" t="s">
        <v>67</v>
      </c>
      <c r="J134">
        <v>5.39</v>
      </c>
      <c r="K134">
        <v>6372.25</v>
      </c>
      <c r="L134">
        <f t="shared" si="10"/>
        <v>2352.3888888888891</v>
      </c>
      <c r="M134" s="8">
        <f t="shared" si="11"/>
        <v>9.7088066504498971E-2</v>
      </c>
      <c r="N134" s="10">
        <f t="shared" si="12"/>
        <v>41214.095999999998</v>
      </c>
      <c r="O134" s="10">
        <f t="shared" si="13"/>
        <v>34841.845999999998</v>
      </c>
      <c r="P134" s="9" t="str">
        <f t="shared" si="14"/>
        <v>OK</v>
      </c>
      <c r="Q134" s="9" t="str">
        <f>INDEX(Crops!$B$2:$B$7,MATCH(D134,Crops!$A$2:$A$7,0))</f>
        <v>Rice</v>
      </c>
      <c r="R134" s="9" t="str">
        <f>INDEX(Districts!$B$2:$B$6,MATCH(C134,Districts!$A$2:$A$6,0))</f>
        <v>Hohoe</v>
      </c>
    </row>
    <row r="135" spans="1:18">
      <c r="A135" t="s">
        <v>172</v>
      </c>
      <c r="B135" s="4">
        <v>45872</v>
      </c>
      <c r="C135" t="s">
        <v>53</v>
      </c>
      <c r="D135" t="s">
        <v>37</v>
      </c>
      <c r="E135">
        <v>9.4</v>
      </c>
      <c r="F135">
        <v>45970.2</v>
      </c>
      <c r="G135">
        <v>4457.5</v>
      </c>
      <c r="H135">
        <v>41512.699999999997</v>
      </c>
      <c r="I135" t="s">
        <v>77</v>
      </c>
      <c r="J135">
        <v>10.77</v>
      </c>
      <c r="K135">
        <v>10039.64</v>
      </c>
      <c r="L135">
        <f t="shared" si="10"/>
        <v>4890.4468085106382</v>
      </c>
      <c r="M135" s="8">
        <f t="shared" si="11"/>
        <v>9.6964990363322331E-2</v>
      </c>
      <c r="N135" s="10">
        <f t="shared" si="12"/>
        <v>447091.77899999992</v>
      </c>
      <c r="O135" s="10">
        <f t="shared" si="13"/>
        <v>437052.13899999991</v>
      </c>
      <c r="P135" s="9" t="str">
        <f t="shared" si="14"/>
        <v>OK</v>
      </c>
      <c r="Q135" s="9" t="str">
        <f>INDEX(Crops!$B$2:$B$7,MATCH(D135,Crops!$A$2:$A$7,0))</f>
        <v>Pepper</v>
      </c>
      <c r="R135" s="9" t="str">
        <f>INDEX(Districts!$B$2:$B$6,MATCH(C135,Districts!$A$2:$A$6,0))</f>
        <v>Hohoe</v>
      </c>
    </row>
    <row r="136" spans="1:18">
      <c r="A136" t="s">
        <v>173</v>
      </c>
      <c r="B136" s="4">
        <v>46144</v>
      </c>
      <c r="C136" t="s">
        <v>51</v>
      </c>
      <c r="D136" t="s">
        <v>39</v>
      </c>
      <c r="E136">
        <v>1.4</v>
      </c>
      <c r="F136">
        <v>2353.3000000000002</v>
      </c>
      <c r="G136">
        <v>360</v>
      </c>
      <c r="H136">
        <v>1993.3</v>
      </c>
      <c r="I136" t="s">
        <v>67</v>
      </c>
      <c r="J136">
        <v>4.78</v>
      </c>
      <c r="K136">
        <v>2381.2399999999998</v>
      </c>
      <c r="L136">
        <f t="shared" si="10"/>
        <v>1680.9285714285716</v>
      </c>
      <c r="M136" s="8">
        <f t="shared" si="11"/>
        <v>0.15297667105766369</v>
      </c>
      <c r="N136" s="10">
        <f t="shared" si="12"/>
        <v>9527.9740000000002</v>
      </c>
      <c r="O136" s="10">
        <f t="shared" si="13"/>
        <v>7146.7340000000004</v>
      </c>
      <c r="P136" s="9" t="str">
        <f t="shared" si="14"/>
        <v>OK</v>
      </c>
      <c r="Q136" s="9" t="str">
        <f>INDEX(Crops!$B$2:$B$7,MATCH(D136,Crops!$A$2:$A$7,0))</f>
        <v>Soybean</v>
      </c>
      <c r="R136" s="9" t="str">
        <f>INDEX(Districts!$B$2:$B$6,MATCH(C136,Districts!$A$2:$A$6,0))</f>
        <v>Kintampo</v>
      </c>
    </row>
    <row r="137" spans="1:18">
      <c r="A137" t="s">
        <v>174</v>
      </c>
      <c r="B137" s="4">
        <v>46016</v>
      </c>
      <c r="C137" t="s">
        <v>53</v>
      </c>
      <c r="D137" t="s">
        <v>39</v>
      </c>
      <c r="E137">
        <v>6.1</v>
      </c>
      <c r="F137">
        <v>12009.4</v>
      </c>
      <c r="G137">
        <v>396.6</v>
      </c>
      <c r="H137">
        <v>11612.8</v>
      </c>
      <c r="I137" t="s">
        <v>70</v>
      </c>
      <c r="J137">
        <v>4.3099999999999996</v>
      </c>
      <c r="K137">
        <v>8295.81</v>
      </c>
      <c r="L137">
        <f t="shared" si="10"/>
        <v>1968.7540983606557</v>
      </c>
      <c r="M137" s="8">
        <f t="shared" si="11"/>
        <v>3.3024131097307112E-2</v>
      </c>
      <c r="N137" s="10">
        <f t="shared" si="12"/>
        <v>50051.167999999991</v>
      </c>
      <c r="O137" s="10">
        <f t="shared" si="13"/>
        <v>41755.357999999993</v>
      </c>
      <c r="P137" s="9" t="str">
        <f t="shared" si="14"/>
        <v>OK</v>
      </c>
      <c r="Q137" s="9" t="str">
        <f>INDEX(Crops!$B$2:$B$7,MATCH(D137,Crops!$A$2:$A$7,0))</f>
        <v>Soybean</v>
      </c>
      <c r="R137" s="9" t="str">
        <f>INDEX(Districts!$B$2:$B$6,MATCH(C137,Districts!$A$2:$A$6,0))</f>
        <v>Hohoe</v>
      </c>
    </row>
    <row r="138" spans="1:18">
      <c r="A138" t="s">
        <v>175</v>
      </c>
      <c r="B138" s="4">
        <v>46092</v>
      </c>
      <c r="C138" t="s">
        <v>53</v>
      </c>
      <c r="D138" t="s">
        <v>33</v>
      </c>
      <c r="E138">
        <v>3.8</v>
      </c>
      <c r="F138">
        <v>10770.3</v>
      </c>
      <c r="G138">
        <v>421.5</v>
      </c>
      <c r="H138">
        <v>10348.799999999999</v>
      </c>
      <c r="I138" t="s">
        <v>67</v>
      </c>
      <c r="J138">
        <v>5.83</v>
      </c>
      <c r="K138">
        <v>2923.46</v>
      </c>
      <c r="L138">
        <f t="shared" si="10"/>
        <v>2834.2894736842104</v>
      </c>
      <c r="M138" s="8">
        <f t="shared" si="11"/>
        <v>3.9135400128130139E-2</v>
      </c>
      <c r="N138" s="10">
        <f t="shared" si="12"/>
        <v>60333.503999999994</v>
      </c>
      <c r="O138" s="10">
        <f t="shared" si="13"/>
        <v>57410.043999999994</v>
      </c>
      <c r="P138" s="9" t="str">
        <f t="shared" si="14"/>
        <v>OK</v>
      </c>
      <c r="Q138" s="9" t="str">
        <f>INDEX(Crops!$B$2:$B$7,MATCH(D138,Crops!$A$2:$A$7,0))</f>
        <v>Rice</v>
      </c>
      <c r="R138" s="9" t="str">
        <f>INDEX(Districts!$B$2:$B$6,MATCH(C138,Districts!$A$2:$A$6,0))</f>
        <v>Hohoe</v>
      </c>
    </row>
    <row r="139" spans="1:18">
      <c r="A139" t="s">
        <v>176</v>
      </c>
      <c r="B139" s="4">
        <v>45948</v>
      </c>
      <c r="C139" t="s">
        <v>47</v>
      </c>
      <c r="D139" t="s">
        <v>33</v>
      </c>
      <c r="E139">
        <v>6.4</v>
      </c>
      <c r="F139">
        <v>12316.8</v>
      </c>
      <c r="G139">
        <v>1178.3</v>
      </c>
      <c r="H139">
        <v>11138.5</v>
      </c>
      <c r="I139" t="s">
        <v>77</v>
      </c>
      <c r="J139">
        <v>5.81</v>
      </c>
      <c r="K139">
        <v>9373.19</v>
      </c>
      <c r="L139">
        <f t="shared" si="10"/>
        <v>1924.4999999999998</v>
      </c>
      <c r="M139" s="8">
        <f t="shared" si="11"/>
        <v>9.5666082099246555E-2</v>
      </c>
      <c r="N139" s="10">
        <f t="shared" si="12"/>
        <v>64714.684999999998</v>
      </c>
      <c r="O139" s="10">
        <f t="shared" si="13"/>
        <v>55341.494999999995</v>
      </c>
      <c r="P139" s="9" t="str">
        <f t="shared" si="14"/>
        <v>OK</v>
      </c>
      <c r="Q139" s="9" t="str">
        <f>INDEX(Crops!$B$2:$B$7,MATCH(D139,Crops!$A$2:$A$7,0))</f>
        <v>Rice</v>
      </c>
      <c r="R139" s="9" t="str">
        <f>INDEX(Districts!$B$2:$B$6,MATCH(C139,Districts!$A$2:$A$6,0))</f>
        <v>Techiman</v>
      </c>
    </row>
    <row r="140" spans="1:18">
      <c r="A140" t="s">
        <v>145</v>
      </c>
      <c r="B140" s="4">
        <v>46003</v>
      </c>
      <c r="C140" t="s">
        <v>45</v>
      </c>
      <c r="D140" t="s">
        <v>39</v>
      </c>
      <c r="E140">
        <v>8.6999999999999993</v>
      </c>
      <c r="F140">
        <v>11074.4</v>
      </c>
      <c r="G140">
        <v>718</v>
      </c>
      <c r="H140">
        <v>10356.4</v>
      </c>
      <c r="I140" t="s">
        <v>77</v>
      </c>
      <c r="J140">
        <v>4.32</v>
      </c>
      <c r="K140">
        <v>11877.8</v>
      </c>
      <c r="L140">
        <f t="shared" si="10"/>
        <v>1272.9195402298851</v>
      </c>
      <c r="M140" s="8">
        <f t="shared" si="11"/>
        <v>6.483421223723182E-2</v>
      </c>
      <c r="N140" s="10">
        <f t="shared" si="12"/>
        <v>44739.648000000001</v>
      </c>
      <c r="O140" s="10">
        <f t="shared" si="13"/>
        <v>32861.847999999998</v>
      </c>
      <c r="P140" s="9" t="str">
        <f t="shared" si="14"/>
        <v>OK</v>
      </c>
      <c r="Q140" s="9" t="str">
        <f>INDEX(Crops!$B$2:$B$7,MATCH(D140,Crops!$A$2:$A$7,0))</f>
        <v>Soybean</v>
      </c>
      <c r="R140" s="9" t="str">
        <f>INDEX(Districts!$B$2:$B$6,MATCH(C140,Districts!$A$2:$A$6,0))</f>
        <v>Ejura</v>
      </c>
    </row>
    <row r="141" spans="1:18">
      <c r="A141" t="s">
        <v>82</v>
      </c>
      <c r="B141" s="4">
        <v>46161</v>
      </c>
      <c r="C141" t="s">
        <v>45</v>
      </c>
      <c r="D141" t="s">
        <v>31</v>
      </c>
      <c r="E141">
        <v>10.8</v>
      </c>
      <c r="F141">
        <v>17336.400000000001</v>
      </c>
      <c r="G141">
        <v>1546.3</v>
      </c>
      <c r="H141">
        <v>15790.1</v>
      </c>
      <c r="I141" t="s">
        <v>67</v>
      </c>
      <c r="J141">
        <v>2.88</v>
      </c>
      <c r="K141">
        <v>16268.95</v>
      </c>
      <c r="L141">
        <f t="shared" si="10"/>
        <v>1605.2222222222222</v>
      </c>
      <c r="M141" s="8">
        <f t="shared" si="11"/>
        <v>8.9193834936895769E-2</v>
      </c>
      <c r="N141" s="10">
        <f t="shared" si="12"/>
        <v>45475.487999999998</v>
      </c>
      <c r="O141" s="10">
        <f t="shared" si="13"/>
        <v>29206.537999999997</v>
      </c>
      <c r="P141" s="9" t="str">
        <f t="shared" si="14"/>
        <v>OK</v>
      </c>
      <c r="Q141" s="9" t="str">
        <f>INDEX(Crops!$B$2:$B$7,MATCH(D141,Crops!$A$2:$A$7,0))</f>
        <v>Maize</v>
      </c>
      <c r="R141" s="9" t="str">
        <f>INDEX(Districts!$B$2:$B$6,MATCH(C141,Districts!$A$2:$A$6,0))</f>
        <v>Ejura</v>
      </c>
    </row>
    <row r="142" spans="1:18">
      <c r="A142" t="s">
        <v>177</v>
      </c>
      <c r="B142" s="4">
        <v>45861</v>
      </c>
      <c r="C142" t="s">
        <v>47</v>
      </c>
      <c r="D142" t="s">
        <v>35</v>
      </c>
      <c r="E142">
        <v>14.6</v>
      </c>
      <c r="F142">
        <v>80975.399999999994</v>
      </c>
      <c r="G142">
        <v>2826.2</v>
      </c>
      <c r="H142">
        <v>78149.2</v>
      </c>
      <c r="I142" t="s">
        <v>77</v>
      </c>
      <c r="J142">
        <v>6.93</v>
      </c>
      <c r="K142">
        <v>22744.11</v>
      </c>
      <c r="L142">
        <f t="shared" si="10"/>
        <v>5546.2602739726026</v>
      </c>
      <c r="M142" s="8">
        <f t="shared" si="11"/>
        <v>3.4901957878565593E-2</v>
      </c>
      <c r="N142" s="10">
        <f t="shared" si="12"/>
        <v>541573.95600000001</v>
      </c>
      <c r="O142" s="10">
        <f t="shared" si="13"/>
        <v>518829.84600000002</v>
      </c>
      <c r="P142" s="9" t="str">
        <f t="shared" si="14"/>
        <v>OK</v>
      </c>
      <c r="Q142" s="9" t="str">
        <f>INDEX(Crops!$B$2:$B$7,MATCH(D142,Crops!$A$2:$A$7,0))</f>
        <v>Tomato</v>
      </c>
      <c r="R142" s="9" t="str">
        <f>INDEX(Districts!$B$2:$B$6,MATCH(C142,Districts!$A$2:$A$6,0))</f>
        <v>Techiman</v>
      </c>
    </row>
    <row r="143" spans="1:18">
      <c r="A143" t="s">
        <v>178</v>
      </c>
      <c r="B143" s="4">
        <v>46047</v>
      </c>
      <c r="C143" t="s">
        <v>53</v>
      </c>
      <c r="D143" t="s">
        <v>33</v>
      </c>
      <c r="E143">
        <v>6</v>
      </c>
      <c r="F143">
        <v>12176.2</v>
      </c>
      <c r="G143">
        <v>461.7</v>
      </c>
      <c r="H143">
        <v>11714.5</v>
      </c>
      <c r="I143" t="s">
        <v>65</v>
      </c>
      <c r="J143">
        <v>6.83</v>
      </c>
      <c r="K143">
        <v>9826.02</v>
      </c>
      <c r="L143">
        <f t="shared" si="10"/>
        <v>2029.3666666666668</v>
      </c>
      <c r="M143" s="8">
        <f t="shared" si="11"/>
        <v>3.7918233931768526E-2</v>
      </c>
      <c r="N143" s="10">
        <f t="shared" si="12"/>
        <v>80010.035000000003</v>
      </c>
      <c r="O143" s="10">
        <f t="shared" si="13"/>
        <v>70184.014999999999</v>
      </c>
      <c r="P143" s="9" t="str">
        <f t="shared" si="14"/>
        <v>OK</v>
      </c>
      <c r="Q143" s="9" t="str">
        <f>INDEX(Crops!$B$2:$B$7,MATCH(D143,Crops!$A$2:$A$7,0))</f>
        <v>Rice</v>
      </c>
      <c r="R143" s="9" t="str">
        <f>INDEX(Districts!$B$2:$B$6,MATCH(C143,Districts!$A$2:$A$6,0))</f>
        <v>Hohoe</v>
      </c>
    </row>
    <row r="144" spans="1:18">
      <c r="A144" t="s">
        <v>155</v>
      </c>
      <c r="B144" s="4">
        <v>46066</v>
      </c>
      <c r="C144" t="s">
        <v>49</v>
      </c>
      <c r="D144" t="s">
        <v>31</v>
      </c>
      <c r="E144">
        <v>9.1999999999999993</v>
      </c>
      <c r="F144">
        <v>17970.8</v>
      </c>
      <c r="G144">
        <v>2591</v>
      </c>
      <c r="H144">
        <v>15379.8</v>
      </c>
      <c r="I144" t="s">
        <v>70</v>
      </c>
      <c r="J144">
        <v>2.89</v>
      </c>
      <c r="K144">
        <v>10615.14</v>
      </c>
      <c r="L144">
        <f t="shared" si="10"/>
        <v>1953.3478260869565</v>
      </c>
      <c r="M144" s="8">
        <f t="shared" si="11"/>
        <v>0.14417833374140274</v>
      </c>
      <c r="N144" s="10">
        <f t="shared" si="12"/>
        <v>44447.622000000003</v>
      </c>
      <c r="O144" s="10">
        <f t="shared" si="13"/>
        <v>33832.482000000004</v>
      </c>
      <c r="P144" s="9" t="str">
        <f t="shared" si="14"/>
        <v>OK</v>
      </c>
      <c r="Q144" s="9" t="str">
        <f>INDEX(Crops!$B$2:$B$7,MATCH(D144,Crops!$A$2:$A$7,0))</f>
        <v>Maize</v>
      </c>
      <c r="R144" s="9" t="str">
        <f>INDEX(Districts!$B$2:$B$6,MATCH(C144,Districts!$A$2:$A$6,0))</f>
        <v>Tamale Metro</v>
      </c>
    </row>
    <row r="145" spans="1:18">
      <c r="A145" t="s">
        <v>175</v>
      </c>
      <c r="B145" s="4">
        <v>46055</v>
      </c>
      <c r="C145" t="s">
        <v>47</v>
      </c>
      <c r="D145" t="s">
        <v>39</v>
      </c>
      <c r="E145">
        <v>5</v>
      </c>
      <c r="F145">
        <v>5520.2</v>
      </c>
      <c r="G145">
        <v>628.70000000000005</v>
      </c>
      <c r="H145">
        <v>4891.5</v>
      </c>
      <c r="I145" t="s">
        <v>67</v>
      </c>
      <c r="J145">
        <v>5.35</v>
      </c>
      <c r="K145">
        <v>4568.6000000000004</v>
      </c>
      <c r="L145">
        <f t="shared" si="10"/>
        <v>1104.04</v>
      </c>
      <c r="M145" s="8">
        <f t="shared" si="11"/>
        <v>0.1138908010579327</v>
      </c>
      <c r="N145" s="10">
        <f t="shared" si="12"/>
        <v>26169.524999999998</v>
      </c>
      <c r="O145" s="10">
        <f t="shared" si="13"/>
        <v>21600.924999999996</v>
      </c>
      <c r="P145" s="9" t="str">
        <f t="shared" si="14"/>
        <v>OK</v>
      </c>
      <c r="Q145" s="9" t="str">
        <f>INDEX(Crops!$B$2:$B$7,MATCH(D145,Crops!$A$2:$A$7,0))</f>
        <v>Soybean</v>
      </c>
      <c r="R145" s="9" t="str">
        <f>INDEX(Districts!$B$2:$B$6,MATCH(C145,Districts!$A$2:$A$6,0))</f>
        <v>Techiman</v>
      </c>
    </row>
    <row r="146" spans="1:18">
      <c r="A146" t="s">
        <v>179</v>
      </c>
      <c r="B146" s="4">
        <v>46179</v>
      </c>
      <c r="C146" t="s">
        <v>45</v>
      </c>
      <c r="D146" t="s">
        <v>35</v>
      </c>
      <c r="E146">
        <v>9</v>
      </c>
      <c r="F146">
        <v>77618.3</v>
      </c>
      <c r="G146">
        <v>3581.8</v>
      </c>
      <c r="H146">
        <v>74036.5</v>
      </c>
      <c r="I146" t="s">
        <v>70</v>
      </c>
      <c r="J146">
        <v>6.91</v>
      </c>
      <c r="K146">
        <v>13352.58</v>
      </c>
      <c r="L146">
        <f t="shared" si="10"/>
        <v>8624.2555555555555</v>
      </c>
      <c r="M146" s="8">
        <f t="shared" si="11"/>
        <v>4.6146334047511992E-2</v>
      </c>
      <c r="N146" s="10">
        <f t="shared" si="12"/>
        <v>511592.21500000003</v>
      </c>
      <c r="O146" s="10">
        <f t="shared" si="13"/>
        <v>498239.63500000001</v>
      </c>
      <c r="P146" s="9" t="str">
        <f t="shared" si="14"/>
        <v>OK</v>
      </c>
      <c r="Q146" s="9" t="str">
        <f>INDEX(Crops!$B$2:$B$7,MATCH(D146,Crops!$A$2:$A$7,0))</f>
        <v>Tomato</v>
      </c>
      <c r="R146" s="9" t="str">
        <f>INDEX(Districts!$B$2:$B$6,MATCH(C146,Districts!$A$2:$A$6,0))</f>
        <v>Ejura</v>
      </c>
    </row>
    <row r="147" spans="1:18">
      <c r="A147" t="s">
        <v>71</v>
      </c>
      <c r="B147" s="4">
        <v>46009</v>
      </c>
      <c r="C147" t="s">
        <v>47</v>
      </c>
      <c r="D147" t="s">
        <v>33</v>
      </c>
      <c r="E147">
        <v>3.8</v>
      </c>
      <c r="F147">
        <v>10652.3</v>
      </c>
      <c r="G147">
        <v>1497.8</v>
      </c>
      <c r="H147">
        <v>9154.5</v>
      </c>
      <c r="I147" t="s">
        <v>67</v>
      </c>
      <c r="J147">
        <v>5.0199999999999996</v>
      </c>
      <c r="K147">
        <v>5336.63</v>
      </c>
      <c r="L147">
        <f t="shared" si="10"/>
        <v>2803.2368421052629</v>
      </c>
      <c r="M147" s="8">
        <f t="shared" si="11"/>
        <v>0.14060813157721808</v>
      </c>
      <c r="N147" s="10">
        <f t="shared" si="12"/>
        <v>45955.59</v>
      </c>
      <c r="O147" s="10">
        <f t="shared" si="13"/>
        <v>40618.959999999999</v>
      </c>
      <c r="P147" s="9" t="str">
        <f t="shared" si="14"/>
        <v>OK</v>
      </c>
      <c r="Q147" s="9" t="str">
        <f>INDEX(Crops!$B$2:$B$7,MATCH(D147,Crops!$A$2:$A$7,0))</f>
        <v>Rice</v>
      </c>
      <c r="R147" s="9" t="str">
        <f>INDEX(Districts!$B$2:$B$6,MATCH(C147,Districts!$A$2:$A$6,0))</f>
        <v>Techiman</v>
      </c>
    </row>
    <row r="148" spans="1:18">
      <c r="A148" t="s">
        <v>180</v>
      </c>
      <c r="B148" s="4">
        <v>46162</v>
      </c>
      <c r="C148" t="s">
        <v>53</v>
      </c>
      <c r="D148" t="s">
        <v>37</v>
      </c>
      <c r="E148">
        <v>5.4</v>
      </c>
      <c r="F148">
        <v>33631.1</v>
      </c>
      <c r="G148">
        <v>2041.3</v>
      </c>
      <c r="H148">
        <v>31589.8</v>
      </c>
      <c r="I148" t="s">
        <v>65</v>
      </c>
      <c r="J148">
        <v>9.8699999999999992</v>
      </c>
      <c r="K148">
        <v>5298.89</v>
      </c>
      <c r="L148">
        <f t="shared" si="10"/>
        <v>6227.9814814814808</v>
      </c>
      <c r="M148" s="8">
        <f t="shared" si="11"/>
        <v>6.0696795525570085E-2</v>
      </c>
      <c r="N148" s="10">
        <f t="shared" si="12"/>
        <v>311791.32599999994</v>
      </c>
      <c r="O148" s="10">
        <f t="shared" si="13"/>
        <v>306492.43599999993</v>
      </c>
      <c r="P148" s="9" t="str">
        <f t="shared" si="14"/>
        <v>OK</v>
      </c>
      <c r="Q148" s="9" t="str">
        <f>INDEX(Crops!$B$2:$B$7,MATCH(D148,Crops!$A$2:$A$7,0))</f>
        <v>Pepper</v>
      </c>
      <c r="R148" s="9" t="str">
        <f>INDEX(Districts!$B$2:$B$6,MATCH(C148,Districts!$A$2:$A$6,0))</f>
        <v>Hohoe</v>
      </c>
    </row>
    <row r="149" spans="1:18">
      <c r="A149" t="s">
        <v>74</v>
      </c>
      <c r="B149" s="4">
        <v>45974</v>
      </c>
      <c r="C149" t="s">
        <v>47</v>
      </c>
      <c r="D149" t="s">
        <v>41</v>
      </c>
      <c r="E149">
        <v>8.1999999999999993</v>
      </c>
      <c r="F149">
        <v>35992.5</v>
      </c>
      <c r="G149">
        <v>1825.1</v>
      </c>
      <c r="H149">
        <v>34167.4</v>
      </c>
      <c r="I149" t="s">
        <v>65</v>
      </c>
      <c r="J149">
        <v>2.0499999999999998</v>
      </c>
      <c r="K149">
        <v>14258.88</v>
      </c>
      <c r="L149">
        <f t="shared" si="10"/>
        <v>4389.3292682926831</v>
      </c>
      <c r="M149" s="8">
        <f t="shared" si="11"/>
        <v>5.0707786344377295E-2</v>
      </c>
      <c r="N149" s="10">
        <f t="shared" si="12"/>
        <v>70043.17</v>
      </c>
      <c r="O149" s="10">
        <f t="shared" si="13"/>
        <v>55784.29</v>
      </c>
      <c r="P149" s="9" t="str">
        <f t="shared" si="14"/>
        <v>OK</v>
      </c>
      <c r="Q149" s="9" t="str">
        <f>INDEX(Crops!$B$2:$B$7,MATCH(D149,Crops!$A$2:$A$7,0))</f>
        <v>Cassava</v>
      </c>
      <c r="R149" s="9" t="str">
        <f>INDEX(Districts!$B$2:$B$6,MATCH(C149,Districts!$A$2:$A$6,0))</f>
        <v>Techiman</v>
      </c>
    </row>
    <row r="150" spans="1:18">
      <c r="A150" t="s">
        <v>181</v>
      </c>
      <c r="B150" s="4">
        <v>46023</v>
      </c>
      <c r="C150" t="s">
        <v>45</v>
      </c>
      <c r="D150" t="s">
        <v>39</v>
      </c>
      <c r="E150">
        <v>4.2</v>
      </c>
      <c r="F150">
        <v>8151.2</v>
      </c>
      <c r="G150">
        <v>285.5</v>
      </c>
      <c r="H150">
        <v>7865.7</v>
      </c>
      <c r="I150" t="s">
        <v>142</v>
      </c>
      <c r="J150">
        <v>4.55</v>
      </c>
      <c r="K150">
        <v>3268.72</v>
      </c>
      <c r="L150">
        <f t="shared" si="10"/>
        <v>1940.7619047619046</v>
      </c>
      <c r="M150" s="8">
        <f t="shared" si="11"/>
        <v>3.5025517715183044E-2</v>
      </c>
      <c r="N150" s="10">
        <f t="shared" si="12"/>
        <v>35788.934999999998</v>
      </c>
      <c r="O150" s="10">
        <f t="shared" si="13"/>
        <v>32520.214999999997</v>
      </c>
      <c r="P150" s="9" t="str">
        <f t="shared" si="14"/>
        <v>OK</v>
      </c>
      <c r="Q150" s="9" t="str">
        <f>INDEX(Crops!$B$2:$B$7,MATCH(D150,Crops!$A$2:$A$7,0))</f>
        <v>Soybean</v>
      </c>
      <c r="R150" s="9" t="str">
        <f>INDEX(Districts!$B$2:$B$6,MATCH(C150,Districts!$A$2:$A$6,0))</f>
        <v>Ejura</v>
      </c>
    </row>
    <row r="151" spans="1:18">
      <c r="A151" t="s">
        <v>182</v>
      </c>
      <c r="B151" s="4">
        <v>46199</v>
      </c>
      <c r="C151" t="s">
        <v>51</v>
      </c>
      <c r="D151" t="s">
        <v>39</v>
      </c>
      <c r="E151">
        <v>14.5</v>
      </c>
      <c r="F151">
        <v>27799.7</v>
      </c>
      <c r="G151">
        <v>924.4</v>
      </c>
      <c r="H151">
        <v>26875.3</v>
      </c>
      <c r="I151" t="s">
        <v>77</v>
      </c>
      <c r="J151">
        <v>4.53</v>
      </c>
      <c r="K151">
        <v>15519.39</v>
      </c>
      <c r="L151">
        <f t="shared" si="10"/>
        <v>1917.2206896551725</v>
      </c>
      <c r="M151" s="8">
        <f t="shared" si="11"/>
        <v>3.3252157397381986E-2</v>
      </c>
      <c r="N151" s="10">
        <f t="shared" si="12"/>
        <v>121745.109</v>
      </c>
      <c r="O151" s="10">
        <f t="shared" si="13"/>
        <v>106225.719</v>
      </c>
      <c r="P151" s="9" t="str">
        <f t="shared" si="14"/>
        <v>OK</v>
      </c>
      <c r="Q151" s="9" t="str">
        <f>INDEX(Crops!$B$2:$B$7,MATCH(D151,Crops!$A$2:$A$7,0))</f>
        <v>Soybean</v>
      </c>
      <c r="R151" s="9" t="str">
        <f>INDEX(Districts!$B$2:$B$6,MATCH(C151,Districts!$A$2:$A$6,0))</f>
        <v>Kintampo</v>
      </c>
    </row>
    <row r="152" spans="1:18">
      <c r="A152" t="s">
        <v>81</v>
      </c>
      <c r="B152" s="4">
        <v>46043</v>
      </c>
      <c r="C152" t="s">
        <v>49</v>
      </c>
      <c r="D152" t="s">
        <v>41</v>
      </c>
      <c r="E152">
        <v>4.2</v>
      </c>
      <c r="F152">
        <v>26860.400000000001</v>
      </c>
      <c r="G152">
        <v>1262.5999999999999</v>
      </c>
      <c r="H152">
        <v>25597.8</v>
      </c>
      <c r="I152" t="s">
        <v>77</v>
      </c>
      <c r="J152">
        <v>2.66</v>
      </c>
      <c r="K152">
        <v>3999.62</v>
      </c>
      <c r="L152">
        <f t="shared" si="10"/>
        <v>6395.333333333333</v>
      </c>
      <c r="M152" s="8">
        <f t="shared" si="11"/>
        <v>4.700600139983023E-2</v>
      </c>
      <c r="N152" s="10">
        <f t="shared" si="12"/>
        <v>68090.148000000001</v>
      </c>
      <c r="O152" s="10">
        <f t="shared" si="13"/>
        <v>64090.527999999998</v>
      </c>
      <c r="P152" s="9" t="str">
        <f t="shared" si="14"/>
        <v>OK</v>
      </c>
      <c r="Q152" s="9" t="str">
        <f>INDEX(Crops!$B$2:$B$7,MATCH(D152,Crops!$A$2:$A$7,0))</f>
        <v>Cassava</v>
      </c>
      <c r="R152" s="9" t="str">
        <f>INDEX(Districts!$B$2:$B$6,MATCH(C152,Districts!$A$2:$A$6,0))</f>
        <v>Tamale Metro</v>
      </c>
    </row>
    <row r="153" spans="1:18">
      <c r="A153" t="s">
        <v>183</v>
      </c>
      <c r="B153" s="4">
        <v>45887</v>
      </c>
      <c r="C153" t="s">
        <v>49</v>
      </c>
      <c r="D153" t="s">
        <v>33</v>
      </c>
      <c r="E153">
        <v>9.6</v>
      </c>
      <c r="F153">
        <v>25787.599999999999</v>
      </c>
      <c r="G153">
        <v>3799.1</v>
      </c>
      <c r="H153">
        <v>21988.5</v>
      </c>
      <c r="I153" t="s">
        <v>70</v>
      </c>
      <c r="J153">
        <v>5.32</v>
      </c>
      <c r="K153">
        <v>12991.23</v>
      </c>
      <c r="L153">
        <f t="shared" si="10"/>
        <v>2686.2083333333335</v>
      </c>
      <c r="M153" s="8">
        <f t="shared" si="11"/>
        <v>0.14732274426468536</v>
      </c>
      <c r="N153" s="10">
        <f t="shared" si="12"/>
        <v>116978.82</v>
      </c>
      <c r="O153" s="10">
        <f t="shared" si="13"/>
        <v>103987.59000000001</v>
      </c>
      <c r="P153" s="9" t="str">
        <f t="shared" si="14"/>
        <v>OK</v>
      </c>
      <c r="Q153" s="9" t="str">
        <f>INDEX(Crops!$B$2:$B$7,MATCH(D153,Crops!$A$2:$A$7,0))</f>
        <v>Rice</v>
      </c>
      <c r="R153" s="9" t="str">
        <f>INDEX(Districts!$B$2:$B$6,MATCH(C153,Districts!$A$2:$A$6,0))</f>
        <v>Tamale Metro</v>
      </c>
    </row>
    <row r="154" spans="1:18">
      <c r="A154" t="s">
        <v>153</v>
      </c>
      <c r="B154" s="4">
        <v>46075</v>
      </c>
      <c r="C154" t="s">
        <v>49</v>
      </c>
      <c r="D154" t="s">
        <v>37</v>
      </c>
      <c r="E154">
        <v>11.4</v>
      </c>
      <c r="F154">
        <v>59893.4</v>
      </c>
      <c r="G154">
        <v>2472.9</v>
      </c>
      <c r="H154">
        <v>57420.5</v>
      </c>
      <c r="I154" t="s">
        <v>70</v>
      </c>
      <c r="J154">
        <v>10.65</v>
      </c>
      <c r="K154">
        <v>7417.85</v>
      </c>
      <c r="L154">
        <f t="shared" si="10"/>
        <v>5253.8070175438597</v>
      </c>
      <c r="M154" s="8">
        <f t="shared" si="11"/>
        <v>4.1288355645196298E-2</v>
      </c>
      <c r="N154" s="10">
        <f t="shared" si="12"/>
        <v>611528.32500000007</v>
      </c>
      <c r="O154" s="10">
        <f t="shared" si="13"/>
        <v>604110.47500000009</v>
      </c>
      <c r="P154" s="9" t="str">
        <f t="shared" si="14"/>
        <v>OK</v>
      </c>
      <c r="Q154" s="9" t="str">
        <f>INDEX(Crops!$B$2:$B$7,MATCH(D154,Crops!$A$2:$A$7,0))</f>
        <v>Pepper</v>
      </c>
      <c r="R154" s="9" t="str">
        <f>INDEX(Districts!$B$2:$B$6,MATCH(C154,Districts!$A$2:$A$6,0))</f>
        <v>Tamale Metro</v>
      </c>
    </row>
    <row r="155" spans="1:18">
      <c r="A155" t="s">
        <v>75</v>
      </c>
      <c r="B155" s="4">
        <v>46099</v>
      </c>
      <c r="C155" t="s">
        <v>47</v>
      </c>
      <c r="D155" t="s">
        <v>31</v>
      </c>
      <c r="E155">
        <v>9.6999999999999993</v>
      </c>
      <c r="F155">
        <v>12715.7</v>
      </c>
      <c r="G155">
        <v>1525.6</v>
      </c>
      <c r="H155">
        <v>11190.1</v>
      </c>
      <c r="I155" t="s">
        <v>77</v>
      </c>
      <c r="J155">
        <v>3.51</v>
      </c>
      <c r="K155">
        <v>7142.83</v>
      </c>
      <c r="L155">
        <f t="shared" si="10"/>
        <v>1310.896907216495</v>
      </c>
      <c r="M155" s="8">
        <f t="shared" si="11"/>
        <v>0.11997766540575822</v>
      </c>
      <c r="N155" s="10">
        <f t="shared" si="12"/>
        <v>39277.250999999997</v>
      </c>
      <c r="O155" s="10">
        <f t="shared" si="13"/>
        <v>32134.420999999995</v>
      </c>
      <c r="P155" s="9" t="str">
        <f t="shared" si="14"/>
        <v>OK</v>
      </c>
      <c r="Q155" s="9" t="str">
        <f>INDEX(Crops!$B$2:$B$7,MATCH(D155,Crops!$A$2:$A$7,0))</f>
        <v>Maize</v>
      </c>
      <c r="R155" s="9" t="str">
        <f>INDEX(Districts!$B$2:$B$6,MATCH(C155,Districts!$A$2:$A$6,0))</f>
        <v>Techiman</v>
      </c>
    </row>
    <row r="156" spans="1:18">
      <c r="A156" t="s">
        <v>184</v>
      </c>
      <c r="B156" s="4">
        <v>45942</v>
      </c>
      <c r="C156" t="s">
        <v>51</v>
      </c>
      <c r="D156" t="s">
        <v>37</v>
      </c>
      <c r="E156">
        <v>11.9</v>
      </c>
      <c r="F156">
        <v>71616</v>
      </c>
      <c r="G156">
        <v>4795.6000000000004</v>
      </c>
      <c r="H156">
        <v>66820.399999999994</v>
      </c>
      <c r="I156" t="s">
        <v>70</v>
      </c>
      <c r="J156">
        <v>9.26</v>
      </c>
      <c r="K156">
        <v>8469.91</v>
      </c>
      <c r="L156">
        <f t="shared" si="10"/>
        <v>6018.1512605042017</v>
      </c>
      <c r="M156" s="8">
        <f t="shared" si="11"/>
        <v>6.6962689901697944E-2</v>
      </c>
      <c r="N156" s="10">
        <f t="shared" si="12"/>
        <v>618756.90399999998</v>
      </c>
      <c r="O156" s="10">
        <f t="shared" si="13"/>
        <v>610286.99399999995</v>
      </c>
      <c r="P156" s="9" t="str">
        <f t="shared" si="14"/>
        <v>OK</v>
      </c>
      <c r="Q156" s="9" t="str">
        <f>INDEX(Crops!$B$2:$B$7,MATCH(D156,Crops!$A$2:$A$7,0))</f>
        <v>Pepper</v>
      </c>
      <c r="R156" s="9" t="str">
        <f>INDEX(Districts!$B$2:$B$6,MATCH(C156,Districts!$A$2:$A$6,0))</f>
        <v>Kintampo</v>
      </c>
    </row>
    <row r="157" spans="1:18">
      <c r="A157" t="s">
        <v>109</v>
      </c>
      <c r="B157" s="4">
        <v>45967</v>
      </c>
      <c r="C157" t="s">
        <v>53</v>
      </c>
      <c r="D157" t="s">
        <v>35</v>
      </c>
      <c r="E157">
        <v>9.4</v>
      </c>
      <c r="F157">
        <v>89698</v>
      </c>
      <c r="G157">
        <v>5654.9</v>
      </c>
      <c r="H157">
        <v>84043.1</v>
      </c>
      <c r="I157" t="s">
        <v>77</v>
      </c>
      <c r="J157">
        <v>6.2</v>
      </c>
      <c r="K157">
        <v>14599.64</v>
      </c>
      <c r="L157">
        <f t="shared" si="10"/>
        <v>9542.3404255319147</v>
      </c>
      <c r="M157" s="8">
        <f t="shared" si="11"/>
        <v>6.3043769091841506E-2</v>
      </c>
      <c r="N157" s="10">
        <f t="shared" si="12"/>
        <v>521067.22000000003</v>
      </c>
      <c r="O157" s="10">
        <f t="shared" si="13"/>
        <v>506467.58</v>
      </c>
      <c r="P157" s="9" t="str">
        <f t="shared" si="14"/>
        <v>OK</v>
      </c>
      <c r="Q157" s="9" t="str">
        <f>INDEX(Crops!$B$2:$B$7,MATCH(D157,Crops!$A$2:$A$7,0))</f>
        <v>Tomato</v>
      </c>
      <c r="R157" s="9" t="str">
        <f>INDEX(Districts!$B$2:$B$6,MATCH(C157,Districts!$A$2:$A$6,0))</f>
        <v>Hohoe</v>
      </c>
    </row>
    <row r="158" spans="1:18">
      <c r="A158" t="s">
        <v>185</v>
      </c>
      <c r="B158" s="4">
        <v>45919</v>
      </c>
      <c r="C158" t="s">
        <v>51</v>
      </c>
      <c r="D158" t="s">
        <v>39</v>
      </c>
      <c r="E158">
        <v>11.9</v>
      </c>
      <c r="F158">
        <v>20102.099999999999</v>
      </c>
      <c r="G158">
        <v>1313.7</v>
      </c>
      <c r="H158">
        <v>18788.400000000001</v>
      </c>
      <c r="I158" t="s">
        <v>65</v>
      </c>
      <c r="J158">
        <v>4.76</v>
      </c>
      <c r="K158">
        <v>7766.91</v>
      </c>
      <c r="L158">
        <f t="shared" si="10"/>
        <v>1689.252100840336</v>
      </c>
      <c r="M158" s="8">
        <f t="shared" si="11"/>
        <v>6.5351381198979222E-2</v>
      </c>
      <c r="N158" s="10">
        <f t="shared" si="12"/>
        <v>89432.784</v>
      </c>
      <c r="O158" s="10">
        <f t="shared" si="13"/>
        <v>81665.873999999996</v>
      </c>
      <c r="P158" s="9" t="str">
        <f t="shared" si="14"/>
        <v>OK</v>
      </c>
      <c r="Q158" s="9" t="str">
        <f>INDEX(Crops!$B$2:$B$7,MATCH(D158,Crops!$A$2:$A$7,0))</f>
        <v>Soybean</v>
      </c>
      <c r="R158" s="9" t="str">
        <f>INDEX(Districts!$B$2:$B$6,MATCH(C158,Districts!$A$2:$A$6,0))</f>
        <v>Kintampo</v>
      </c>
    </row>
    <row r="159" spans="1:18">
      <c r="A159" t="s">
        <v>155</v>
      </c>
      <c r="B159" s="4">
        <v>46114</v>
      </c>
      <c r="C159" t="s">
        <v>49</v>
      </c>
      <c r="D159" t="s">
        <v>33</v>
      </c>
      <c r="E159">
        <v>5.2</v>
      </c>
      <c r="F159">
        <v>11478.1</v>
      </c>
      <c r="G159">
        <v>469.9</v>
      </c>
      <c r="H159">
        <v>11008.2</v>
      </c>
      <c r="I159" t="s">
        <v>67</v>
      </c>
      <c r="J159">
        <v>6.42</v>
      </c>
      <c r="K159">
        <v>6711.79</v>
      </c>
      <c r="L159">
        <f t="shared" si="10"/>
        <v>2207.3269230769229</v>
      </c>
      <c r="M159" s="8">
        <f t="shared" si="11"/>
        <v>4.0938831339681653E-2</v>
      </c>
      <c r="N159" s="10">
        <f t="shared" si="12"/>
        <v>70672.644</v>
      </c>
      <c r="O159" s="10">
        <f t="shared" si="13"/>
        <v>63960.853999999999</v>
      </c>
      <c r="P159" s="9" t="str">
        <f t="shared" si="14"/>
        <v>OK</v>
      </c>
      <c r="Q159" s="9" t="str">
        <f>INDEX(Crops!$B$2:$B$7,MATCH(D159,Crops!$A$2:$A$7,0))</f>
        <v>Rice</v>
      </c>
      <c r="R159" s="9" t="str">
        <f>INDEX(Districts!$B$2:$B$6,MATCH(C159,Districts!$A$2:$A$6,0))</f>
        <v>Tamale Metro</v>
      </c>
    </row>
    <row r="160" spans="1:18">
      <c r="A160" t="s">
        <v>166</v>
      </c>
      <c r="B160" s="4">
        <v>45866</v>
      </c>
      <c r="C160" t="s">
        <v>53</v>
      </c>
      <c r="D160" t="s">
        <v>31</v>
      </c>
      <c r="E160">
        <v>11.3</v>
      </c>
      <c r="F160">
        <v>19047.3</v>
      </c>
      <c r="G160">
        <v>1743.4</v>
      </c>
      <c r="H160">
        <v>17303.900000000001</v>
      </c>
      <c r="I160" t="s">
        <v>65</v>
      </c>
      <c r="J160">
        <v>3.1</v>
      </c>
      <c r="K160">
        <v>19990.650000000001</v>
      </c>
      <c r="L160">
        <f t="shared" si="10"/>
        <v>1685.6017699115043</v>
      </c>
      <c r="M160" s="8">
        <f t="shared" si="11"/>
        <v>9.1530033128054897E-2</v>
      </c>
      <c r="N160" s="10">
        <f t="shared" si="12"/>
        <v>53642.090000000004</v>
      </c>
      <c r="O160" s="10">
        <f t="shared" si="13"/>
        <v>33651.440000000002</v>
      </c>
      <c r="P160" s="9" t="str">
        <f t="shared" si="14"/>
        <v>OK</v>
      </c>
      <c r="Q160" s="9" t="str">
        <f>INDEX(Crops!$B$2:$B$7,MATCH(D160,Crops!$A$2:$A$7,0))</f>
        <v>Maize</v>
      </c>
      <c r="R160" s="9" t="str">
        <f>INDEX(Districts!$B$2:$B$6,MATCH(C160,Districts!$A$2:$A$6,0))</f>
        <v>Hohoe</v>
      </c>
    </row>
    <row r="161" spans="1:18">
      <c r="A161" t="s">
        <v>186</v>
      </c>
      <c r="B161" s="4">
        <v>46047</v>
      </c>
      <c r="C161" t="s">
        <v>49</v>
      </c>
      <c r="D161" t="s">
        <v>41</v>
      </c>
      <c r="E161">
        <v>1.4</v>
      </c>
      <c r="F161">
        <v>6659.8</v>
      </c>
      <c r="G161">
        <v>789.7</v>
      </c>
      <c r="H161">
        <v>5870.1</v>
      </c>
      <c r="I161" t="s">
        <v>67</v>
      </c>
      <c r="J161">
        <v>2.62</v>
      </c>
      <c r="K161">
        <v>1698</v>
      </c>
      <c r="L161">
        <f t="shared" si="10"/>
        <v>4757</v>
      </c>
      <c r="M161" s="8">
        <f t="shared" si="11"/>
        <v>0.11857713444848195</v>
      </c>
      <c r="N161" s="10">
        <f t="shared" si="12"/>
        <v>15379.662000000002</v>
      </c>
      <c r="O161" s="10">
        <f t="shared" si="13"/>
        <v>13681.662000000002</v>
      </c>
      <c r="P161" s="9" t="str">
        <f t="shared" si="14"/>
        <v>OK</v>
      </c>
      <c r="Q161" s="9" t="str">
        <f>INDEX(Crops!$B$2:$B$7,MATCH(D161,Crops!$A$2:$A$7,0))</f>
        <v>Cassava</v>
      </c>
      <c r="R161" s="9" t="str">
        <f>INDEX(Districts!$B$2:$B$6,MATCH(C161,Districts!$A$2:$A$6,0))</f>
        <v>Tamale Metro</v>
      </c>
    </row>
    <row r="162" spans="1:18">
      <c r="A162" t="s">
        <v>143</v>
      </c>
      <c r="B162" s="4">
        <v>46129</v>
      </c>
      <c r="C162" t="s">
        <v>51</v>
      </c>
      <c r="D162" t="s">
        <v>41</v>
      </c>
      <c r="E162">
        <v>4.0999999999999996</v>
      </c>
      <c r="F162">
        <v>16450.599999999999</v>
      </c>
      <c r="G162">
        <v>1504.4</v>
      </c>
      <c r="H162">
        <v>14946.2</v>
      </c>
      <c r="I162" t="s">
        <v>70</v>
      </c>
      <c r="J162">
        <v>2.15</v>
      </c>
      <c r="K162">
        <v>4636.3500000000004</v>
      </c>
      <c r="L162">
        <f t="shared" si="10"/>
        <v>4012.3414634146343</v>
      </c>
      <c r="M162" s="8">
        <f t="shared" si="11"/>
        <v>9.1449551992024619E-2</v>
      </c>
      <c r="N162" s="10">
        <f t="shared" si="12"/>
        <v>32134.33</v>
      </c>
      <c r="O162" s="10">
        <f t="shared" si="13"/>
        <v>27497.980000000003</v>
      </c>
      <c r="P162" s="9" t="str">
        <f t="shared" si="14"/>
        <v>OK</v>
      </c>
      <c r="Q162" s="9" t="str">
        <f>INDEX(Crops!$B$2:$B$7,MATCH(D162,Crops!$A$2:$A$7,0))</f>
        <v>Cassava</v>
      </c>
      <c r="R162" s="9" t="str">
        <f>INDEX(Districts!$B$2:$B$6,MATCH(C162,Districts!$A$2:$A$6,0))</f>
        <v>Kintampo</v>
      </c>
    </row>
    <row r="163" spans="1:18">
      <c r="A163" t="s">
        <v>187</v>
      </c>
      <c r="B163" s="4">
        <v>45874</v>
      </c>
      <c r="C163" t="s">
        <v>47</v>
      </c>
      <c r="D163" t="s">
        <v>41</v>
      </c>
      <c r="E163">
        <v>12.7</v>
      </c>
      <c r="F163">
        <v>89808.1</v>
      </c>
      <c r="G163">
        <v>7087.7</v>
      </c>
      <c r="H163">
        <v>82720.399999999994</v>
      </c>
      <c r="I163" t="s">
        <v>77</v>
      </c>
      <c r="J163">
        <v>2.27</v>
      </c>
      <c r="K163">
        <v>12027.1</v>
      </c>
      <c r="L163">
        <f t="shared" si="10"/>
        <v>7071.5039370078748</v>
      </c>
      <c r="M163" s="8">
        <f t="shared" si="11"/>
        <v>7.8920498262406172E-2</v>
      </c>
      <c r="N163" s="10">
        <f t="shared" si="12"/>
        <v>187775.30799999999</v>
      </c>
      <c r="O163" s="10">
        <f t="shared" si="13"/>
        <v>175748.20799999998</v>
      </c>
      <c r="P163" s="9" t="str">
        <f t="shared" si="14"/>
        <v>OK</v>
      </c>
      <c r="Q163" s="9" t="str">
        <f>INDEX(Crops!$B$2:$B$7,MATCH(D163,Crops!$A$2:$A$7,0))</f>
        <v>Cassava</v>
      </c>
      <c r="R163" s="9" t="str">
        <f>INDEX(Districts!$B$2:$B$6,MATCH(C163,Districts!$A$2:$A$6,0))</f>
        <v>Techiman</v>
      </c>
    </row>
    <row r="164" spans="1:18">
      <c r="A164" t="s">
        <v>64</v>
      </c>
      <c r="B164" s="4">
        <v>45886</v>
      </c>
      <c r="C164" t="s">
        <v>49</v>
      </c>
      <c r="D164" t="s">
        <v>37</v>
      </c>
      <c r="E164">
        <v>3.6</v>
      </c>
      <c r="F164">
        <v>16671.8</v>
      </c>
      <c r="G164">
        <v>736.6</v>
      </c>
      <c r="H164">
        <v>15935.2</v>
      </c>
      <c r="I164" t="s">
        <v>77</v>
      </c>
      <c r="J164">
        <v>8.41</v>
      </c>
      <c r="K164">
        <v>5242.42</v>
      </c>
      <c r="L164">
        <f t="shared" si="10"/>
        <v>4631.0555555555557</v>
      </c>
      <c r="M164" s="8">
        <f t="shared" si="11"/>
        <v>4.4182391823318422E-2</v>
      </c>
      <c r="N164" s="10">
        <f t="shared" si="12"/>
        <v>134015.03200000001</v>
      </c>
      <c r="O164" s="10">
        <f t="shared" si="13"/>
        <v>128772.61200000001</v>
      </c>
      <c r="P164" s="9" t="str">
        <f t="shared" si="14"/>
        <v>OK</v>
      </c>
      <c r="Q164" s="9" t="str">
        <f>INDEX(Crops!$B$2:$B$7,MATCH(D164,Crops!$A$2:$A$7,0))</f>
        <v>Pepper</v>
      </c>
      <c r="R164" s="9" t="str">
        <f>INDEX(Districts!$B$2:$B$6,MATCH(C164,Districts!$A$2:$A$6,0))</f>
        <v>Tamale Metro</v>
      </c>
    </row>
    <row r="165" spans="1:18">
      <c r="A165" t="s">
        <v>188</v>
      </c>
      <c r="B165" s="4">
        <v>46038</v>
      </c>
      <c r="C165" t="s">
        <v>49</v>
      </c>
      <c r="D165" t="s">
        <v>37</v>
      </c>
      <c r="E165">
        <v>12.1</v>
      </c>
      <c r="F165">
        <v>73158.399999999994</v>
      </c>
      <c r="G165">
        <v>6301.6</v>
      </c>
      <c r="H165">
        <v>66856.800000000003</v>
      </c>
      <c r="I165" t="s">
        <v>65</v>
      </c>
      <c r="J165">
        <v>9.93</v>
      </c>
      <c r="K165">
        <v>11018.96</v>
      </c>
      <c r="L165">
        <f t="shared" si="10"/>
        <v>6046.1487603305786</v>
      </c>
      <c r="M165" s="8">
        <f t="shared" si="11"/>
        <v>8.6136383518502335E-2</v>
      </c>
      <c r="N165" s="10">
        <f t="shared" si="12"/>
        <v>663888.02399999998</v>
      </c>
      <c r="O165" s="10">
        <f t="shared" si="13"/>
        <v>652869.06400000001</v>
      </c>
      <c r="P165" s="9" t="str">
        <f t="shared" si="14"/>
        <v>OK</v>
      </c>
      <c r="Q165" s="9" t="str">
        <f>INDEX(Crops!$B$2:$B$7,MATCH(D165,Crops!$A$2:$A$7,0))</f>
        <v>Pepper</v>
      </c>
      <c r="R165" s="9" t="str">
        <f>INDEX(Districts!$B$2:$B$6,MATCH(C165,Districts!$A$2:$A$6,0))</f>
        <v>Tamale Metro</v>
      </c>
    </row>
    <row r="166" spans="1:18">
      <c r="A166" t="s">
        <v>172</v>
      </c>
      <c r="B166" s="4">
        <v>45969</v>
      </c>
      <c r="C166" t="s">
        <v>49</v>
      </c>
      <c r="D166" t="s">
        <v>37</v>
      </c>
      <c r="E166">
        <v>8.5</v>
      </c>
      <c r="F166">
        <v>53925.4</v>
      </c>
      <c r="G166">
        <v>5826.4</v>
      </c>
      <c r="H166">
        <v>48099</v>
      </c>
      <c r="I166" t="s">
        <v>77</v>
      </c>
      <c r="J166">
        <v>8.07</v>
      </c>
      <c r="K166">
        <v>8154.96</v>
      </c>
      <c r="L166">
        <f t="shared" si="10"/>
        <v>6344.1647058823528</v>
      </c>
      <c r="M166" s="8">
        <f t="shared" si="11"/>
        <v>0.10804555923553649</v>
      </c>
      <c r="N166" s="10">
        <f t="shared" si="12"/>
        <v>388158.93</v>
      </c>
      <c r="O166" s="10">
        <f t="shared" si="13"/>
        <v>380003.97</v>
      </c>
      <c r="P166" s="9" t="str">
        <f t="shared" si="14"/>
        <v>OK</v>
      </c>
      <c r="Q166" s="9" t="str">
        <f>INDEX(Crops!$B$2:$B$7,MATCH(D166,Crops!$A$2:$A$7,0))</f>
        <v>Pepper</v>
      </c>
      <c r="R166" s="9" t="str">
        <f>INDEX(Districts!$B$2:$B$6,MATCH(C166,Districts!$A$2:$A$6,0))</f>
        <v>Tamale Metro</v>
      </c>
    </row>
    <row r="167" spans="1:18">
      <c r="A167" t="s">
        <v>100</v>
      </c>
      <c r="B167" s="4">
        <v>45908</v>
      </c>
      <c r="C167" t="s">
        <v>45</v>
      </c>
      <c r="D167" t="s">
        <v>41</v>
      </c>
      <c r="E167">
        <v>1.9</v>
      </c>
      <c r="F167">
        <v>14216.5</v>
      </c>
      <c r="G167">
        <v>1197.3</v>
      </c>
      <c r="H167">
        <v>13019.2</v>
      </c>
      <c r="I167" t="s">
        <v>67</v>
      </c>
      <c r="J167">
        <v>2.4900000000000002</v>
      </c>
      <c r="K167">
        <v>2727.92</v>
      </c>
      <c r="L167">
        <f t="shared" si="10"/>
        <v>7482.3684210526317</v>
      </c>
      <c r="M167" s="8">
        <f t="shared" si="11"/>
        <v>8.4219041254879889E-2</v>
      </c>
      <c r="N167" s="10">
        <f t="shared" si="12"/>
        <v>32417.808000000005</v>
      </c>
      <c r="O167" s="10">
        <f t="shared" si="13"/>
        <v>29689.888000000006</v>
      </c>
      <c r="P167" s="9" t="str">
        <f t="shared" si="14"/>
        <v>OK</v>
      </c>
      <c r="Q167" s="9" t="str">
        <f>INDEX(Crops!$B$2:$B$7,MATCH(D167,Crops!$A$2:$A$7,0))</f>
        <v>Cassava</v>
      </c>
      <c r="R167" s="9" t="str">
        <f>INDEX(Districts!$B$2:$B$6,MATCH(C167,Districts!$A$2:$A$6,0))</f>
        <v>Ejura</v>
      </c>
    </row>
    <row r="168" spans="1:18">
      <c r="A168" t="s">
        <v>189</v>
      </c>
      <c r="B168" s="4">
        <v>45928</v>
      </c>
      <c r="C168" t="s">
        <v>49</v>
      </c>
      <c r="D168" t="s">
        <v>41</v>
      </c>
      <c r="E168">
        <v>11.2</v>
      </c>
      <c r="F168">
        <v>46381.7</v>
      </c>
      <c r="G168">
        <v>1436.7</v>
      </c>
      <c r="H168">
        <v>44945</v>
      </c>
      <c r="I168" t="s">
        <v>67</v>
      </c>
      <c r="J168">
        <v>2.39</v>
      </c>
      <c r="K168">
        <v>18542.11</v>
      </c>
      <c r="L168">
        <f t="shared" si="10"/>
        <v>4141.2232142857147</v>
      </c>
      <c r="M168" s="8">
        <f t="shared" si="11"/>
        <v>3.0975578730404452E-2</v>
      </c>
      <c r="N168" s="10">
        <f t="shared" si="12"/>
        <v>107418.55</v>
      </c>
      <c r="O168" s="10">
        <f t="shared" si="13"/>
        <v>88876.44</v>
      </c>
      <c r="P168" s="9" t="str">
        <f t="shared" si="14"/>
        <v>OK</v>
      </c>
      <c r="Q168" s="9" t="str">
        <f>INDEX(Crops!$B$2:$B$7,MATCH(D168,Crops!$A$2:$A$7,0))</f>
        <v>Cassava</v>
      </c>
      <c r="R168" s="9" t="str">
        <f>INDEX(Districts!$B$2:$B$6,MATCH(C168,Districts!$A$2:$A$6,0))</f>
        <v>Tamale Metro</v>
      </c>
    </row>
    <row r="169" spans="1:18">
      <c r="A169" t="s">
        <v>102</v>
      </c>
      <c r="B169" s="4">
        <v>46000</v>
      </c>
      <c r="C169" t="s">
        <v>53</v>
      </c>
      <c r="D169" t="s">
        <v>31</v>
      </c>
      <c r="E169">
        <v>14.8</v>
      </c>
      <c r="F169">
        <v>30106.5</v>
      </c>
      <c r="G169">
        <v>1031.9000000000001</v>
      </c>
      <c r="H169">
        <v>29074.6</v>
      </c>
      <c r="I169" t="s">
        <v>70</v>
      </c>
      <c r="J169">
        <v>3.2</v>
      </c>
      <c r="K169">
        <v>17755.099999999999</v>
      </c>
      <c r="L169">
        <f t="shared" si="10"/>
        <v>2034.2229729729729</v>
      </c>
      <c r="M169" s="8">
        <f t="shared" si="11"/>
        <v>3.4274990450567158E-2</v>
      </c>
      <c r="N169" s="10">
        <f t="shared" si="12"/>
        <v>93038.720000000001</v>
      </c>
      <c r="O169" s="10">
        <f t="shared" si="13"/>
        <v>75283.62</v>
      </c>
      <c r="P169" s="9" t="str">
        <f t="shared" si="14"/>
        <v>OK</v>
      </c>
      <c r="Q169" s="9" t="str">
        <f>INDEX(Crops!$B$2:$B$7,MATCH(D169,Crops!$A$2:$A$7,0))</f>
        <v>Maize</v>
      </c>
      <c r="R169" s="9" t="str">
        <f>INDEX(Districts!$B$2:$B$6,MATCH(C169,Districts!$A$2:$A$6,0))</f>
        <v>Hohoe</v>
      </c>
    </row>
    <row r="170" spans="1:18">
      <c r="A170" t="s">
        <v>140</v>
      </c>
      <c r="B170" s="4">
        <v>46084</v>
      </c>
      <c r="C170" t="s">
        <v>53</v>
      </c>
      <c r="D170" t="s">
        <v>31</v>
      </c>
      <c r="E170">
        <v>13</v>
      </c>
      <c r="F170">
        <v>18772.400000000001</v>
      </c>
      <c r="G170">
        <v>2764.7</v>
      </c>
      <c r="H170">
        <v>16007.7</v>
      </c>
      <c r="I170" t="s">
        <v>67</v>
      </c>
      <c r="J170">
        <v>2.78</v>
      </c>
      <c r="K170">
        <v>14795.2</v>
      </c>
      <c r="L170">
        <f t="shared" si="10"/>
        <v>1444.0307692307692</v>
      </c>
      <c r="M170" s="8">
        <f t="shared" si="11"/>
        <v>0.14727472246489526</v>
      </c>
      <c r="N170" s="10">
        <f t="shared" si="12"/>
        <v>44501.405999999995</v>
      </c>
      <c r="O170" s="10">
        <f t="shared" si="13"/>
        <v>29706.205999999995</v>
      </c>
      <c r="P170" s="9" t="str">
        <f t="shared" si="14"/>
        <v>OK</v>
      </c>
      <c r="Q170" s="9" t="str">
        <f>INDEX(Crops!$B$2:$B$7,MATCH(D170,Crops!$A$2:$A$7,0))</f>
        <v>Maize</v>
      </c>
      <c r="R170" s="9" t="str">
        <f>INDEX(Districts!$B$2:$B$6,MATCH(C170,Districts!$A$2:$A$6,0))</f>
        <v>Hohoe</v>
      </c>
    </row>
    <row r="171" spans="1:18">
      <c r="A171" t="s">
        <v>135</v>
      </c>
      <c r="B171" s="4">
        <v>46106</v>
      </c>
      <c r="C171" t="s">
        <v>53</v>
      </c>
      <c r="D171" t="s">
        <v>39</v>
      </c>
      <c r="E171">
        <v>4.7</v>
      </c>
      <c r="F171">
        <v>7774</v>
      </c>
      <c r="G171">
        <v>1143.8</v>
      </c>
      <c r="H171">
        <v>6630.2</v>
      </c>
      <c r="I171" t="s">
        <v>65</v>
      </c>
      <c r="J171">
        <v>3.98</v>
      </c>
      <c r="K171">
        <v>6297.53</v>
      </c>
      <c r="L171">
        <f t="shared" si="10"/>
        <v>1654.0425531914893</v>
      </c>
      <c r="M171" s="8">
        <f t="shared" si="11"/>
        <v>0.14713146385387188</v>
      </c>
      <c r="N171" s="10">
        <f t="shared" si="12"/>
        <v>26388.196</v>
      </c>
      <c r="O171" s="10">
        <f t="shared" si="13"/>
        <v>20090.666000000001</v>
      </c>
      <c r="P171" s="9" t="str">
        <f t="shared" si="14"/>
        <v>OK</v>
      </c>
      <c r="Q171" s="9" t="str">
        <f>INDEX(Crops!$B$2:$B$7,MATCH(D171,Crops!$A$2:$A$7,0))</f>
        <v>Soybean</v>
      </c>
      <c r="R171" s="9" t="str">
        <f>INDEX(Districts!$B$2:$B$6,MATCH(C171,Districts!$A$2:$A$6,0))</f>
        <v>Hohoe</v>
      </c>
    </row>
    <row r="172" spans="1:18">
      <c r="A172" t="s">
        <v>173</v>
      </c>
      <c r="B172" s="4">
        <v>46050</v>
      </c>
      <c r="C172" t="s">
        <v>53</v>
      </c>
      <c r="D172" t="s">
        <v>33</v>
      </c>
      <c r="E172">
        <v>3.5</v>
      </c>
      <c r="F172">
        <v>8014.4</v>
      </c>
      <c r="G172">
        <v>1180.7</v>
      </c>
      <c r="H172">
        <v>6833.7</v>
      </c>
      <c r="I172" t="s">
        <v>67</v>
      </c>
      <c r="J172">
        <v>6.62</v>
      </c>
      <c r="K172">
        <v>3918.66</v>
      </c>
      <c r="L172">
        <f t="shared" si="10"/>
        <v>2289.8285714285712</v>
      </c>
      <c r="M172" s="8">
        <f t="shared" si="11"/>
        <v>0.14732231982431623</v>
      </c>
      <c r="N172" s="10">
        <f t="shared" si="12"/>
        <v>45239.093999999997</v>
      </c>
      <c r="O172" s="10">
        <f t="shared" si="13"/>
        <v>41320.433999999994</v>
      </c>
      <c r="P172" s="9" t="str">
        <f t="shared" si="14"/>
        <v>OK</v>
      </c>
      <c r="Q172" s="9" t="str">
        <f>INDEX(Crops!$B$2:$B$7,MATCH(D172,Crops!$A$2:$A$7,0))</f>
        <v>Rice</v>
      </c>
      <c r="R172" s="9" t="str">
        <f>INDEX(Districts!$B$2:$B$6,MATCH(C172,Districts!$A$2:$A$6,0))</f>
        <v>Hohoe</v>
      </c>
    </row>
    <row r="173" spans="1:18">
      <c r="A173" t="s">
        <v>190</v>
      </c>
      <c r="B173" s="4">
        <v>46111</v>
      </c>
      <c r="C173" t="s">
        <v>49</v>
      </c>
      <c r="D173" t="s">
        <v>41</v>
      </c>
      <c r="E173">
        <v>10.5</v>
      </c>
      <c r="F173">
        <v>45486.3</v>
      </c>
      <c r="G173">
        <v>1973.5</v>
      </c>
      <c r="H173">
        <v>43512.800000000003</v>
      </c>
      <c r="I173" t="s">
        <v>77</v>
      </c>
      <c r="J173">
        <v>2.59</v>
      </c>
      <c r="K173">
        <v>9795.58</v>
      </c>
      <c r="L173">
        <f t="shared" si="10"/>
        <v>4332.0285714285719</v>
      </c>
      <c r="M173" s="8">
        <f t="shared" si="11"/>
        <v>4.3386690058325253E-2</v>
      </c>
      <c r="N173" s="10">
        <f t="shared" si="12"/>
        <v>112698.152</v>
      </c>
      <c r="O173" s="10">
        <f t="shared" si="13"/>
        <v>102902.572</v>
      </c>
      <c r="P173" s="9" t="str">
        <f t="shared" si="14"/>
        <v>OK</v>
      </c>
      <c r="Q173" s="9" t="str">
        <f>INDEX(Crops!$B$2:$B$7,MATCH(D173,Crops!$A$2:$A$7,0))</f>
        <v>Cassava</v>
      </c>
      <c r="R173" s="9" t="str">
        <f>INDEX(Districts!$B$2:$B$6,MATCH(C173,Districts!$A$2:$A$6,0))</f>
        <v>Tamale Metro</v>
      </c>
    </row>
    <row r="174" spans="1:18">
      <c r="A174" t="s">
        <v>191</v>
      </c>
      <c r="B174" s="4">
        <v>46064</v>
      </c>
      <c r="C174" t="s">
        <v>47</v>
      </c>
      <c r="D174" t="s">
        <v>41</v>
      </c>
      <c r="E174">
        <v>1.6</v>
      </c>
      <c r="F174">
        <v>7357.3</v>
      </c>
      <c r="G174">
        <v>564.5</v>
      </c>
      <c r="H174">
        <v>6792.8</v>
      </c>
      <c r="I174" t="s">
        <v>77</v>
      </c>
      <c r="J174">
        <v>2.29</v>
      </c>
      <c r="K174">
        <v>2080.7199999999998</v>
      </c>
      <c r="L174">
        <f t="shared" si="10"/>
        <v>4598.3125</v>
      </c>
      <c r="M174" s="8">
        <f t="shared" si="11"/>
        <v>7.6726516521006344E-2</v>
      </c>
      <c r="N174" s="10">
        <f t="shared" si="12"/>
        <v>15555.512000000001</v>
      </c>
      <c r="O174" s="10">
        <f t="shared" si="13"/>
        <v>13474.792000000001</v>
      </c>
      <c r="P174" s="9" t="str">
        <f t="shared" si="14"/>
        <v>OK</v>
      </c>
      <c r="Q174" s="9" t="str">
        <f>INDEX(Crops!$B$2:$B$7,MATCH(D174,Crops!$A$2:$A$7,0))</f>
        <v>Cassava</v>
      </c>
      <c r="R174" s="9" t="str">
        <f>INDEX(Districts!$B$2:$B$6,MATCH(C174,Districts!$A$2:$A$6,0))</f>
        <v>Techiman</v>
      </c>
    </row>
    <row r="175" spans="1:18">
      <c r="A175" t="s">
        <v>192</v>
      </c>
      <c r="B175" s="4">
        <v>46064</v>
      </c>
      <c r="C175" t="s">
        <v>53</v>
      </c>
      <c r="D175" t="s">
        <v>41</v>
      </c>
      <c r="E175">
        <v>2.2999999999999998</v>
      </c>
      <c r="F175">
        <v>12044.7</v>
      </c>
      <c r="G175">
        <v>250.4</v>
      </c>
      <c r="H175">
        <v>11794.3</v>
      </c>
      <c r="I175" t="s">
        <v>65</v>
      </c>
      <c r="J175">
        <v>2.27</v>
      </c>
      <c r="K175">
        <v>3835.66</v>
      </c>
      <c r="L175">
        <f t="shared" si="10"/>
        <v>5236.8260869565229</v>
      </c>
      <c r="M175" s="8">
        <f t="shared" si="11"/>
        <v>2.0789226796848404E-2</v>
      </c>
      <c r="N175" s="10">
        <f t="shared" si="12"/>
        <v>26773.060999999998</v>
      </c>
      <c r="O175" s="10">
        <f t="shared" si="13"/>
        <v>22937.400999999998</v>
      </c>
      <c r="P175" s="9" t="str">
        <f t="shared" si="14"/>
        <v>OK</v>
      </c>
      <c r="Q175" s="9" t="str">
        <f>INDEX(Crops!$B$2:$B$7,MATCH(D175,Crops!$A$2:$A$7,0))</f>
        <v>Cassava</v>
      </c>
      <c r="R175" s="9" t="str">
        <f>INDEX(Districts!$B$2:$B$6,MATCH(C175,Districts!$A$2:$A$6,0))</f>
        <v>Hohoe</v>
      </c>
    </row>
    <row r="176" spans="1:18">
      <c r="A176" t="s">
        <v>193</v>
      </c>
      <c r="B176" s="4">
        <v>46048</v>
      </c>
      <c r="C176" t="s">
        <v>53</v>
      </c>
      <c r="D176" t="s">
        <v>39</v>
      </c>
      <c r="E176">
        <v>10.9</v>
      </c>
      <c r="F176">
        <v>13881.5</v>
      </c>
      <c r="G176">
        <v>1344.1</v>
      </c>
      <c r="H176">
        <v>12537.4</v>
      </c>
      <c r="I176" t="s">
        <v>65</v>
      </c>
      <c r="J176">
        <v>3.94</v>
      </c>
      <c r="K176">
        <v>17592.96</v>
      </c>
      <c r="L176">
        <f t="shared" si="10"/>
        <v>1273.5321100917431</v>
      </c>
      <c r="M176" s="8">
        <f t="shared" si="11"/>
        <v>9.682671181068328E-2</v>
      </c>
      <c r="N176" s="10">
        <f t="shared" si="12"/>
        <v>49397.356</v>
      </c>
      <c r="O176" s="10">
        <f t="shared" si="13"/>
        <v>31804.396000000001</v>
      </c>
      <c r="P176" s="9" t="str">
        <f t="shared" si="14"/>
        <v>OK</v>
      </c>
      <c r="Q176" s="9" t="str">
        <f>INDEX(Crops!$B$2:$B$7,MATCH(D176,Crops!$A$2:$A$7,0))</f>
        <v>Soybean</v>
      </c>
      <c r="R176" s="9" t="str">
        <f>INDEX(Districts!$B$2:$B$6,MATCH(C176,Districts!$A$2:$A$6,0))</f>
        <v>Hohoe</v>
      </c>
    </row>
    <row r="177" spans="1:18">
      <c r="A177" t="s">
        <v>117</v>
      </c>
      <c r="B177" s="4">
        <v>45985</v>
      </c>
      <c r="C177" t="s">
        <v>45</v>
      </c>
      <c r="D177" t="s">
        <v>35</v>
      </c>
      <c r="E177">
        <v>9.1</v>
      </c>
      <c r="F177">
        <v>57675.1</v>
      </c>
      <c r="G177">
        <v>3370.7</v>
      </c>
      <c r="H177">
        <v>54304.4</v>
      </c>
      <c r="I177" t="s">
        <v>70</v>
      </c>
      <c r="J177">
        <v>6.97</v>
      </c>
      <c r="K177">
        <v>15454.81</v>
      </c>
      <c r="L177">
        <f t="shared" si="10"/>
        <v>6337.9230769230771</v>
      </c>
      <c r="M177" s="8">
        <f t="shared" si="11"/>
        <v>5.8442898235113588E-2</v>
      </c>
      <c r="N177" s="10">
        <f t="shared" si="12"/>
        <v>378501.66800000001</v>
      </c>
      <c r="O177" s="10">
        <f t="shared" si="13"/>
        <v>363046.85800000001</v>
      </c>
      <c r="P177" s="9" t="str">
        <f t="shared" si="14"/>
        <v>OK</v>
      </c>
      <c r="Q177" s="9" t="str">
        <f>INDEX(Crops!$B$2:$B$7,MATCH(D177,Crops!$A$2:$A$7,0))</f>
        <v>Tomato</v>
      </c>
      <c r="R177" s="9" t="str">
        <f>INDEX(Districts!$B$2:$B$6,MATCH(C177,Districts!$A$2:$A$6,0))</f>
        <v>Ejura</v>
      </c>
    </row>
    <row r="178" spans="1:18">
      <c r="A178" t="s">
        <v>194</v>
      </c>
      <c r="B178" s="4">
        <v>46201</v>
      </c>
      <c r="C178" t="s">
        <v>45</v>
      </c>
      <c r="D178" t="s">
        <v>31</v>
      </c>
      <c r="E178">
        <v>10.3</v>
      </c>
      <c r="F178">
        <v>23577.8</v>
      </c>
      <c r="G178">
        <v>2208.3000000000002</v>
      </c>
      <c r="H178">
        <v>21369.5</v>
      </c>
      <c r="I178" t="s">
        <v>65</v>
      </c>
      <c r="J178">
        <v>3.73</v>
      </c>
      <c r="K178">
        <v>18063.54</v>
      </c>
      <c r="L178">
        <f t="shared" si="10"/>
        <v>2289.1067961165045</v>
      </c>
      <c r="M178" s="8">
        <f t="shared" si="11"/>
        <v>9.3660137926354456E-2</v>
      </c>
      <c r="N178" s="10">
        <f t="shared" si="12"/>
        <v>79708.235000000001</v>
      </c>
      <c r="O178" s="10">
        <f t="shared" si="13"/>
        <v>61644.695</v>
      </c>
      <c r="P178" s="9" t="str">
        <f t="shared" si="14"/>
        <v>OK</v>
      </c>
      <c r="Q178" s="9" t="str">
        <f>INDEX(Crops!$B$2:$B$7,MATCH(D178,Crops!$A$2:$A$7,0))</f>
        <v>Maize</v>
      </c>
      <c r="R178" s="9" t="str">
        <f>INDEX(Districts!$B$2:$B$6,MATCH(C178,Districts!$A$2:$A$6,0))</f>
        <v>Ejura</v>
      </c>
    </row>
    <row r="179" spans="1:18">
      <c r="A179" t="s">
        <v>195</v>
      </c>
      <c r="B179" s="4">
        <v>45937</v>
      </c>
      <c r="C179" t="s">
        <v>45</v>
      </c>
      <c r="D179" t="s">
        <v>35</v>
      </c>
      <c r="E179">
        <v>7.8</v>
      </c>
      <c r="F179">
        <v>49270.1</v>
      </c>
      <c r="G179">
        <v>7374.4</v>
      </c>
      <c r="H179">
        <v>41895.699999999997</v>
      </c>
      <c r="I179" t="s">
        <v>70</v>
      </c>
      <c r="J179">
        <v>5.99</v>
      </c>
      <c r="K179">
        <v>10596.26</v>
      </c>
      <c r="L179">
        <f t="shared" si="10"/>
        <v>6316.6794871794873</v>
      </c>
      <c r="M179" s="8">
        <f t="shared" si="11"/>
        <v>0.14967292536447055</v>
      </c>
      <c r="N179" s="10">
        <f t="shared" si="12"/>
        <v>250955.24299999999</v>
      </c>
      <c r="O179" s="10">
        <f t="shared" si="13"/>
        <v>240358.98299999998</v>
      </c>
      <c r="P179" s="9" t="str">
        <f t="shared" si="14"/>
        <v>OK</v>
      </c>
      <c r="Q179" s="9" t="str">
        <f>INDEX(Crops!$B$2:$B$7,MATCH(D179,Crops!$A$2:$A$7,0))</f>
        <v>Tomato</v>
      </c>
      <c r="R179" s="9" t="str">
        <f>INDEX(Districts!$B$2:$B$6,MATCH(C179,Districts!$A$2:$A$6,0))</f>
        <v>Ejura</v>
      </c>
    </row>
    <row r="180" spans="1:18">
      <c r="A180" t="s">
        <v>190</v>
      </c>
      <c r="B180" s="4">
        <v>45845</v>
      </c>
      <c r="C180" t="s">
        <v>53</v>
      </c>
      <c r="D180" t="s">
        <v>33</v>
      </c>
      <c r="E180">
        <v>13.7</v>
      </c>
      <c r="F180">
        <v>36176.6</v>
      </c>
      <c r="G180">
        <v>1556.4</v>
      </c>
      <c r="H180">
        <v>34620.199999999997</v>
      </c>
      <c r="I180" t="s">
        <v>65</v>
      </c>
      <c r="J180">
        <v>5.98</v>
      </c>
      <c r="K180">
        <v>23332.720000000001</v>
      </c>
      <c r="L180">
        <f t="shared" si="10"/>
        <v>2640.6277372262775</v>
      </c>
      <c r="M180" s="8">
        <f t="shared" si="11"/>
        <v>4.3022285123532893E-2</v>
      </c>
      <c r="N180" s="10">
        <f t="shared" si="12"/>
        <v>207028.796</v>
      </c>
      <c r="O180" s="10">
        <f t="shared" si="13"/>
        <v>183696.076</v>
      </c>
      <c r="P180" s="9" t="str">
        <f t="shared" si="14"/>
        <v>OK</v>
      </c>
      <c r="Q180" s="9" t="str">
        <f>INDEX(Crops!$B$2:$B$7,MATCH(D180,Crops!$A$2:$A$7,0))</f>
        <v>Rice</v>
      </c>
      <c r="R180" s="9" t="str">
        <f>INDEX(Districts!$B$2:$B$6,MATCH(C180,Districts!$A$2:$A$6,0))</f>
        <v>Hohoe</v>
      </c>
    </row>
    <row r="181" spans="1:18">
      <c r="A181" t="s">
        <v>196</v>
      </c>
      <c r="B181" s="4">
        <v>46123</v>
      </c>
      <c r="C181" t="s">
        <v>53</v>
      </c>
      <c r="D181" t="s">
        <v>39</v>
      </c>
      <c r="E181">
        <v>4.8</v>
      </c>
      <c r="F181">
        <v>5718</v>
      </c>
      <c r="G181">
        <v>388.6</v>
      </c>
      <c r="H181">
        <v>5329.4</v>
      </c>
      <c r="I181" t="s">
        <v>77</v>
      </c>
      <c r="J181">
        <v>4.41</v>
      </c>
      <c r="K181">
        <v>8634.68</v>
      </c>
      <c r="L181">
        <f t="shared" si="10"/>
        <v>1191.25</v>
      </c>
      <c r="M181" s="8">
        <f t="shared" si="11"/>
        <v>6.7960825463448768E-2</v>
      </c>
      <c r="N181" s="10">
        <f t="shared" si="12"/>
        <v>23502.653999999999</v>
      </c>
      <c r="O181" s="10">
        <f t="shared" si="13"/>
        <v>14867.973999999998</v>
      </c>
      <c r="P181" s="9" t="str">
        <f t="shared" si="14"/>
        <v>OK</v>
      </c>
      <c r="Q181" s="9" t="str">
        <f>INDEX(Crops!$B$2:$B$7,MATCH(D181,Crops!$A$2:$A$7,0))</f>
        <v>Soybean</v>
      </c>
      <c r="R181" s="9" t="str">
        <f>INDEX(Districts!$B$2:$B$6,MATCH(C181,Districts!$A$2:$A$6,0))</f>
        <v>Hohoe</v>
      </c>
    </row>
    <row r="182" spans="1:18">
      <c r="A182" t="s">
        <v>167</v>
      </c>
      <c r="B182" s="4">
        <v>46060</v>
      </c>
      <c r="C182" t="s">
        <v>53</v>
      </c>
      <c r="D182" t="s">
        <v>31</v>
      </c>
      <c r="E182">
        <v>12.5</v>
      </c>
      <c r="F182">
        <v>15514.5</v>
      </c>
      <c r="G182">
        <v>1123.0999999999999</v>
      </c>
      <c r="H182">
        <v>14391.4</v>
      </c>
      <c r="I182" t="s">
        <v>67</v>
      </c>
      <c r="J182">
        <v>3.02</v>
      </c>
      <c r="K182">
        <v>16537.009999999998</v>
      </c>
      <c r="L182">
        <f t="shared" si="10"/>
        <v>1241.1600000000001</v>
      </c>
      <c r="M182" s="8">
        <f t="shared" si="11"/>
        <v>7.239034451642011E-2</v>
      </c>
      <c r="N182" s="10">
        <f t="shared" si="12"/>
        <v>43462.027999999998</v>
      </c>
      <c r="O182" s="10">
        <f t="shared" si="13"/>
        <v>26925.018</v>
      </c>
      <c r="P182" s="9" t="str">
        <f t="shared" si="14"/>
        <v>OK</v>
      </c>
      <c r="Q182" s="9" t="str">
        <f>INDEX(Crops!$B$2:$B$7,MATCH(D182,Crops!$A$2:$A$7,0))</f>
        <v>Maize</v>
      </c>
      <c r="R182" s="9" t="str">
        <f>INDEX(Districts!$B$2:$B$6,MATCH(C182,Districts!$A$2:$A$6,0))</f>
        <v>Hohoe</v>
      </c>
    </row>
    <row r="183" spans="1:18">
      <c r="A183" t="s">
        <v>177</v>
      </c>
      <c r="B183" s="4">
        <v>46006</v>
      </c>
      <c r="C183" t="s">
        <v>49</v>
      </c>
      <c r="D183" t="s">
        <v>35</v>
      </c>
      <c r="E183">
        <v>12.2</v>
      </c>
      <c r="F183">
        <v>86598</v>
      </c>
      <c r="G183">
        <v>8908.7000000000007</v>
      </c>
      <c r="H183">
        <v>77689.3</v>
      </c>
      <c r="I183" t="s">
        <v>65</v>
      </c>
      <c r="J183">
        <v>6.23</v>
      </c>
      <c r="K183">
        <v>17111.169999999998</v>
      </c>
      <c r="L183">
        <f t="shared" si="10"/>
        <v>7098.1967213114758</v>
      </c>
      <c r="M183" s="8">
        <f t="shared" si="11"/>
        <v>0.10287420032795215</v>
      </c>
      <c r="N183" s="10">
        <f t="shared" si="12"/>
        <v>484004.33900000004</v>
      </c>
      <c r="O183" s="10">
        <f t="shared" si="13"/>
        <v>466893.16900000005</v>
      </c>
      <c r="P183" s="9" t="str">
        <f t="shared" si="14"/>
        <v>OK</v>
      </c>
      <c r="Q183" s="9" t="str">
        <f>INDEX(Crops!$B$2:$B$7,MATCH(D183,Crops!$A$2:$A$7,0))</f>
        <v>Tomato</v>
      </c>
      <c r="R183" s="9" t="str">
        <f>INDEX(Districts!$B$2:$B$6,MATCH(C183,Districts!$A$2:$A$6,0))</f>
        <v>Tamale Metro</v>
      </c>
    </row>
    <row r="184" spans="1:18">
      <c r="A184" t="s">
        <v>72</v>
      </c>
      <c r="B184" s="4">
        <v>45854</v>
      </c>
      <c r="C184" t="s">
        <v>45</v>
      </c>
      <c r="D184" t="s">
        <v>41</v>
      </c>
      <c r="E184">
        <v>2.5</v>
      </c>
      <c r="F184">
        <v>12825.1</v>
      </c>
      <c r="G184">
        <v>1082.9000000000001</v>
      </c>
      <c r="H184">
        <v>11742.2</v>
      </c>
      <c r="I184" t="s">
        <v>65</v>
      </c>
      <c r="J184">
        <v>2.04</v>
      </c>
      <c r="K184">
        <v>4235.6000000000004</v>
      </c>
      <c r="L184">
        <f t="shared" si="10"/>
        <v>5130.04</v>
      </c>
      <c r="M184" s="8">
        <f t="shared" si="11"/>
        <v>8.4435988803206213E-2</v>
      </c>
      <c r="N184" s="10">
        <f t="shared" si="12"/>
        <v>23954.088000000003</v>
      </c>
      <c r="O184" s="10">
        <f t="shared" si="13"/>
        <v>19718.488000000005</v>
      </c>
      <c r="P184" s="9" t="str">
        <f t="shared" si="14"/>
        <v>OK</v>
      </c>
      <c r="Q184" s="9" t="str">
        <f>INDEX(Crops!$B$2:$B$7,MATCH(D184,Crops!$A$2:$A$7,0))</f>
        <v>Cassava</v>
      </c>
      <c r="R184" s="9" t="str">
        <f>INDEX(Districts!$B$2:$B$6,MATCH(C184,Districts!$A$2:$A$6,0))</f>
        <v>Ejura</v>
      </c>
    </row>
    <row r="185" spans="1:18">
      <c r="A185" t="s">
        <v>197</v>
      </c>
      <c r="B185" s="4">
        <v>46066</v>
      </c>
      <c r="C185" t="s">
        <v>51</v>
      </c>
      <c r="D185" t="s">
        <v>33</v>
      </c>
      <c r="E185">
        <v>2.5</v>
      </c>
      <c r="F185">
        <v>7381.5</v>
      </c>
      <c r="G185">
        <v>1136.7</v>
      </c>
      <c r="H185">
        <v>6244.8</v>
      </c>
      <c r="I185" t="s">
        <v>77</v>
      </c>
      <c r="J185">
        <v>6.03</v>
      </c>
      <c r="K185">
        <v>4450.05</v>
      </c>
      <c r="L185">
        <f t="shared" si="10"/>
        <v>2952.6</v>
      </c>
      <c r="M185" s="8">
        <f t="shared" si="11"/>
        <v>0.15399309083519611</v>
      </c>
      <c r="N185" s="10">
        <f t="shared" si="12"/>
        <v>37656.144</v>
      </c>
      <c r="O185" s="10">
        <f t="shared" si="13"/>
        <v>33206.093999999997</v>
      </c>
      <c r="P185" s="9" t="str">
        <f t="shared" si="14"/>
        <v>OK</v>
      </c>
      <c r="Q185" s="9" t="str">
        <f>INDEX(Crops!$B$2:$B$7,MATCH(D185,Crops!$A$2:$A$7,0))</f>
        <v>Rice</v>
      </c>
      <c r="R185" s="9" t="str">
        <f>INDEX(Districts!$B$2:$B$6,MATCH(C185,Districts!$A$2:$A$6,0))</f>
        <v>Kintampo</v>
      </c>
    </row>
    <row r="186" spans="1:18">
      <c r="A186" t="s">
        <v>115</v>
      </c>
      <c r="B186" s="4">
        <v>45893</v>
      </c>
      <c r="C186" t="s">
        <v>47</v>
      </c>
      <c r="D186" t="s">
        <v>31</v>
      </c>
      <c r="E186">
        <v>14.9</v>
      </c>
      <c r="F186">
        <v>19116</v>
      </c>
      <c r="G186">
        <v>749.5</v>
      </c>
      <c r="H186">
        <v>18366.5</v>
      </c>
      <c r="I186" t="s">
        <v>67</v>
      </c>
      <c r="J186">
        <v>3.55</v>
      </c>
      <c r="K186">
        <v>23735.65</v>
      </c>
      <c r="L186">
        <f t="shared" si="10"/>
        <v>1282.9530201342282</v>
      </c>
      <c r="M186" s="8">
        <f t="shared" si="11"/>
        <v>3.9207993304038499E-2</v>
      </c>
      <c r="N186" s="10">
        <f t="shared" si="12"/>
        <v>65201.074999999997</v>
      </c>
      <c r="O186" s="10">
        <f t="shared" si="13"/>
        <v>41465.424999999996</v>
      </c>
      <c r="P186" s="9" t="str">
        <f t="shared" si="14"/>
        <v>OK</v>
      </c>
      <c r="Q186" s="9" t="str">
        <f>INDEX(Crops!$B$2:$B$7,MATCH(D186,Crops!$A$2:$A$7,0))</f>
        <v>Maize</v>
      </c>
      <c r="R186" s="9" t="str">
        <f>INDEX(Districts!$B$2:$B$6,MATCH(C186,Districts!$A$2:$A$6,0))</f>
        <v>Techiman</v>
      </c>
    </row>
    <row r="187" spans="1:18">
      <c r="A187" t="s">
        <v>134</v>
      </c>
      <c r="B187" s="4">
        <v>45979</v>
      </c>
      <c r="C187" t="s">
        <v>53</v>
      </c>
      <c r="D187" t="s">
        <v>33</v>
      </c>
      <c r="E187">
        <v>6.9</v>
      </c>
      <c r="F187">
        <v>18221.3</v>
      </c>
      <c r="G187">
        <v>1133.3</v>
      </c>
      <c r="H187">
        <v>17088</v>
      </c>
      <c r="I187" t="s">
        <v>77</v>
      </c>
      <c r="J187">
        <v>6.04</v>
      </c>
      <c r="K187">
        <v>11821.29</v>
      </c>
      <c r="L187">
        <f t="shared" si="10"/>
        <v>2640.7681159420285</v>
      </c>
      <c r="M187" s="8">
        <f t="shared" si="11"/>
        <v>6.2196440429607106E-2</v>
      </c>
      <c r="N187" s="10">
        <f t="shared" si="12"/>
        <v>103211.52</v>
      </c>
      <c r="O187" s="10">
        <f t="shared" si="13"/>
        <v>91390.23000000001</v>
      </c>
      <c r="P187" s="9" t="str">
        <f t="shared" si="14"/>
        <v>OK</v>
      </c>
      <c r="Q187" s="9" t="str">
        <f>INDEX(Crops!$B$2:$B$7,MATCH(D187,Crops!$A$2:$A$7,0))</f>
        <v>Rice</v>
      </c>
      <c r="R187" s="9" t="str">
        <f>INDEX(Districts!$B$2:$B$6,MATCH(C187,Districts!$A$2:$A$6,0))</f>
        <v>Hohoe</v>
      </c>
    </row>
    <row r="188" spans="1:18">
      <c r="A188" t="s">
        <v>153</v>
      </c>
      <c r="B188" s="4">
        <v>46151</v>
      </c>
      <c r="C188" t="s">
        <v>45</v>
      </c>
      <c r="D188" t="s">
        <v>33</v>
      </c>
      <c r="E188">
        <v>3.8</v>
      </c>
      <c r="F188">
        <v>6993.7</v>
      </c>
      <c r="G188">
        <v>897.8</v>
      </c>
      <c r="H188">
        <v>6095.9</v>
      </c>
      <c r="I188" t="s">
        <v>65</v>
      </c>
      <c r="J188">
        <v>6.8</v>
      </c>
      <c r="K188">
        <v>5437.28</v>
      </c>
      <c r="L188">
        <f t="shared" si="10"/>
        <v>1840.4473684210527</v>
      </c>
      <c r="M188" s="8">
        <f t="shared" si="11"/>
        <v>0.12837267826758367</v>
      </c>
      <c r="N188" s="10">
        <f t="shared" si="12"/>
        <v>41452.119999999995</v>
      </c>
      <c r="O188" s="10">
        <f t="shared" si="13"/>
        <v>36014.839999999997</v>
      </c>
      <c r="P188" s="9" t="str">
        <f t="shared" si="14"/>
        <v>OK</v>
      </c>
      <c r="Q188" s="9" t="str">
        <f>INDEX(Crops!$B$2:$B$7,MATCH(D188,Crops!$A$2:$A$7,0))</f>
        <v>Rice</v>
      </c>
      <c r="R188" s="9" t="str">
        <f>INDEX(Districts!$B$2:$B$6,MATCH(C188,Districts!$A$2:$A$6,0))</f>
        <v>Ejura</v>
      </c>
    </row>
    <row r="189" spans="1:18">
      <c r="A189" t="s">
        <v>185</v>
      </c>
      <c r="B189" s="4">
        <v>45930</v>
      </c>
      <c r="C189" t="s">
        <v>45</v>
      </c>
      <c r="D189" t="s">
        <v>39</v>
      </c>
      <c r="E189">
        <v>2.1</v>
      </c>
      <c r="F189">
        <v>3626.9</v>
      </c>
      <c r="G189">
        <v>249.5</v>
      </c>
      <c r="H189">
        <v>3377.4</v>
      </c>
      <c r="I189" t="s">
        <v>65</v>
      </c>
      <c r="J189">
        <v>5.26</v>
      </c>
      <c r="K189">
        <v>2414.7399999999998</v>
      </c>
      <c r="L189">
        <f t="shared" si="10"/>
        <v>1727.0952380952381</v>
      </c>
      <c r="M189" s="8">
        <f t="shared" si="11"/>
        <v>6.8791529956712338E-2</v>
      </c>
      <c r="N189" s="10">
        <f t="shared" si="12"/>
        <v>17765.124</v>
      </c>
      <c r="O189" s="10">
        <f t="shared" si="13"/>
        <v>15350.384</v>
      </c>
      <c r="P189" s="9" t="str">
        <f t="shared" si="14"/>
        <v>OK</v>
      </c>
      <c r="Q189" s="9" t="str">
        <f>INDEX(Crops!$B$2:$B$7,MATCH(D189,Crops!$A$2:$A$7,0))</f>
        <v>Soybean</v>
      </c>
      <c r="R189" s="9" t="str">
        <f>INDEX(Districts!$B$2:$B$6,MATCH(C189,Districts!$A$2:$A$6,0))</f>
        <v>Ejura</v>
      </c>
    </row>
    <row r="190" spans="1:18">
      <c r="A190" t="s">
        <v>88</v>
      </c>
      <c r="B190" s="4">
        <v>45839</v>
      </c>
      <c r="C190" t="s">
        <v>53</v>
      </c>
      <c r="D190" t="s">
        <v>37</v>
      </c>
      <c r="E190">
        <v>10.4</v>
      </c>
      <c r="F190">
        <v>41386.699999999997</v>
      </c>
      <c r="G190">
        <v>5675.8</v>
      </c>
      <c r="H190">
        <v>35710.9</v>
      </c>
      <c r="I190" t="s">
        <v>65</v>
      </c>
      <c r="J190">
        <v>10.73</v>
      </c>
      <c r="K190">
        <v>14613.8</v>
      </c>
      <c r="L190">
        <f t="shared" si="10"/>
        <v>3979.4903846153843</v>
      </c>
      <c r="M190" s="8">
        <f t="shared" si="11"/>
        <v>0.13714067562767751</v>
      </c>
      <c r="N190" s="10">
        <f t="shared" si="12"/>
        <v>383177.95700000005</v>
      </c>
      <c r="O190" s="10">
        <f t="shared" si="13"/>
        <v>368564.15700000006</v>
      </c>
      <c r="P190" s="9" t="str">
        <f t="shared" si="14"/>
        <v>OK</v>
      </c>
      <c r="Q190" s="9" t="str">
        <f>INDEX(Crops!$B$2:$B$7,MATCH(D190,Crops!$A$2:$A$7,0))</f>
        <v>Pepper</v>
      </c>
      <c r="R190" s="9" t="str">
        <f>INDEX(Districts!$B$2:$B$6,MATCH(C190,Districts!$A$2:$A$6,0))</f>
        <v>Hohoe</v>
      </c>
    </row>
    <row r="191" spans="1:18">
      <c r="A191" t="s">
        <v>150</v>
      </c>
      <c r="B191" s="4">
        <v>46176</v>
      </c>
      <c r="C191" t="s">
        <v>47</v>
      </c>
      <c r="D191" t="s">
        <v>41</v>
      </c>
      <c r="E191">
        <v>8.5</v>
      </c>
      <c r="F191">
        <v>35569.9</v>
      </c>
      <c r="G191">
        <v>2476</v>
      </c>
      <c r="H191">
        <v>33093.9</v>
      </c>
      <c r="I191" t="s">
        <v>77</v>
      </c>
      <c r="J191">
        <v>2.41</v>
      </c>
      <c r="K191">
        <v>9137.4500000000007</v>
      </c>
      <c r="L191">
        <f t="shared" si="10"/>
        <v>4184.6941176470591</v>
      </c>
      <c r="M191" s="8">
        <f t="shared" si="11"/>
        <v>6.9609416950848893E-2</v>
      </c>
      <c r="N191" s="10">
        <f t="shared" si="12"/>
        <v>79756.299000000014</v>
      </c>
      <c r="O191" s="10">
        <f t="shared" si="13"/>
        <v>70618.849000000017</v>
      </c>
      <c r="P191" s="9" t="str">
        <f t="shared" si="14"/>
        <v>OK</v>
      </c>
      <c r="Q191" s="9" t="str">
        <f>INDEX(Crops!$B$2:$B$7,MATCH(D191,Crops!$A$2:$A$7,0))</f>
        <v>Cassava</v>
      </c>
      <c r="R191" s="9" t="str">
        <f>INDEX(Districts!$B$2:$B$6,MATCH(C191,Districts!$A$2:$A$6,0))</f>
        <v>Techiman</v>
      </c>
    </row>
    <row r="192" spans="1:18">
      <c r="A192" t="s">
        <v>118</v>
      </c>
      <c r="B192" s="4">
        <v>46128</v>
      </c>
      <c r="C192" t="s">
        <v>53</v>
      </c>
      <c r="D192" t="s">
        <v>35</v>
      </c>
      <c r="E192">
        <v>14.1</v>
      </c>
      <c r="F192">
        <v>102270.2</v>
      </c>
      <c r="G192">
        <v>11565.8</v>
      </c>
      <c r="H192">
        <v>90704.4</v>
      </c>
      <c r="I192" t="s">
        <v>67</v>
      </c>
      <c r="J192">
        <v>5.58</v>
      </c>
      <c r="K192">
        <v>16917.400000000001</v>
      </c>
      <c r="L192">
        <f t="shared" si="10"/>
        <v>7253.2056737588655</v>
      </c>
      <c r="M192" s="8">
        <f t="shared" si="11"/>
        <v>0.11309061681702001</v>
      </c>
      <c r="N192" s="10">
        <f t="shared" si="12"/>
        <v>506130.55199999997</v>
      </c>
      <c r="O192" s="10">
        <f t="shared" si="13"/>
        <v>489213.15199999994</v>
      </c>
      <c r="P192" s="9" t="str">
        <f t="shared" si="14"/>
        <v>OK</v>
      </c>
      <c r="Q192" s="9" t="str">
        <f>INDEX(Crops!$B$2:$B$7,MATCH(D192,Crops!$A$2:$A$7,0))</f>
        <v>Tomato</v>
      </c>
      <c r="R192" s="9" t="str">
        <f>INDEX(Districts!$B$2:$B$6,MATCH(C192,Districts!$A$2:$A$6,0))</f>
        <v>Hohoe</v>
      </c>
    </row>
    <row r="193" spans="1:18">
      <c r="A193" t="s">
        <v>139</v>
      </c>
      <c r="B193" s="4">
        <v>46002</v>
      </c>
      <c r="C193" t="s">
        <v>51</v>
      </c>
      <c r="D193" t="s">
        <v>33</v>
      </c>
      <c r="E193">
        <v>4</v>
      </c>
      <c r="F193">
        <v>8578.5</v>
      </c>
      <c r="G193">
        <v>501.4</v>
      </c>
      <c r="H193">
        <v>8077.1</v>
      </c>
      <c r="I193" t="s">
        <v>65</v>
      </c>
      <c r="J193">
        <v>6.29</v>
      </c>
      <c r="K193">
        <v>4519.3</v>
      </c>
      <c r="L193">
        <f t="shared" si="10"/>
        <v>2144.625</v>
      </c>
      <c r="M193" s="8">
        <f t="shared" si="11"/>
        <v>5.8448446698140699E-2</v>
      </c>
      <c r="N193" s="10">
        <f t="shared" si="12"/>
        <v>50804.959000000003</v>
      </c>
      <c r="O193" s="10">
        <f t="shared" si="13"/>
        <v>46285.659</v>
      </c>
      <c r="P193" s="9" t="str">
        <f t="shared" si="14"/>
        <v>OK</v>
      </c>
      <c r="Q193" s="9" t="str">
        <f>INDEX(Crops!$B$2:$B$7,MATCH(D193,Crops!$A$2:$A$7,0))</f>
        <v>Rice</v>
      </c>
      <c r="R193" s="9" t="str">
        <f>INDEX(Districts!$B$2:$B$6,MATCH(C193,Districts!$A$2:$A$6,0))</f>
        <v>Kintampo</v>
      </c>
    </row>
    <row r="194" spans="1:18">
      <c r="A194" t="s">
        <v>149</v>
      </c>
      <c r="B194" s="4">
        <v>46026</v>
      </c>
      <c r="C194" t="s">
        <v>45</v>
      </c>
      <c r="D194" t="s">
        <v>33</v>
      </c>
      <c r="E194">
        <v>2.5</v>
      </c>
      <c r="F194">
        <v>5925.5</v>
      </c>
      <c r="G194">
        <v>866.9</v>
      </c>
      <c r="H194">
        <v>5058.6000000000004</v>
      </c>
      <c r="I194" t="s">
        <v>70</v>
      </c>
      <c r="J194">
        <v>6.4</v>
      </c>
      <c r="K194">
        <v>2410.33</v>
      </c>
      <c r="L194">
        <f t="shared" ref="L194:L257" si="15">F194/E194</f>
        <v>2370.1999999999998</v>
      </c>
      <c r="M194" s="8">
        <f t="shared" ref="M194:M257" si="16">G194/F194</f>
        <v>0.14629989030461565</v>
      </c>
      <c r="N194" s="10">
        <f t="shared" ref="N194:N257" si="17">H194*J194</f>
        <v>32375.040000000005</v>
      </c>
      <c r="O194" s="10">
        <f t="shared" ref="O194:O257" si="18">N194-K194</f>
        <v>29964.710000000006</v>
      </c>
      <c r="P194" s="9" t="str">
        <f t="shared" ref="P194:P257" si="19">IF(H194+G194&gt;F194,"CHECK: Sold+Loss &gt; Harvest","OK")</f>
        <v>OK</v>
      </c>
      <c r="Q194" s="9" t="str">
        <f>INDEX(Crops!$B$2:$B$7,MATCH(D194,Crops!$A$2:$A$7,0))</f>
        <v>Rice</v>
      </c>
      <c r="R194" s="9" t="str">
        <f>INDEX(Districts!$B$2:$B$6,MATCH(C194,Districts!$A$2:$A$6,0))</f>
        <v>Ejura</v>
      </c>
    </row>
    <row r="195" spans="1:18">
      <c r="A195" t="s">
        <v>198</v>
      </c>
      <c r="B195" s="4">
        <v>46084</v>
      </c>
      <c r="C195" t="s">
        <v>47</v>
      </c>
      <c r="D195" t="s">
        <v>37</v>
      </c>
      <c r="E195">
        <v>13.1</v>
      </c>
      <c r="F195">
        <v>81921.8</v>
      </c>
      <c r="G195">
        <v>2906.3</v>
      </c>
      <c r="H195">
        <v>79015.5</v>
      </c>
      <c r="I195" t="s">
        <v>65</v>
      </c>
      <c r="J195">
        <v>10.14</v>
      </c>
      <c r="K195">
        <v>22148.98</v>
      </c>
      <c r="L195">
        <f t="shared" si="15"/>
        <v>6253.5725190839703</v>
      </c>
      <c r="M195" s="8">
        <f t="shared" si="16"/>
        <v>3.5476515408596983E-2</v>
      </c>
      <c r="N195" s="10">
        <f t="shared" si="17"/>
        <v>801217.17</v>
      </c>
      <c r="O195" s="10">
        <f t="shared" si="18"/>
        <v>779068.19000000006</v>
      </c>
      <c r="P195" s="9" t="str">
        <f t="shared" si="19"/>
        <v>OK</v>
      </c>
      <c r="Q195" s="9" t="str">
        <f>INDEX(Crops!$B$2:$B$7,MATCH(D195,Crops!$A$2:$A$7,0))</f>
        <v>Pepper</v>
      </c>
      <c r="R195" s="9" t="str">
        <f>INDEX(Districts!$B$2:$B$6,MATCH(C195,Districts!$A$2:$A$6,0))</f>
        <v>Techiman</v>
      </c>
    </row>
    <row r="196" spans="1:18">
      <c r="A196" t="s">
        <v>149</v>
      </c>
      <c r="B196" s="4">
        <v>46041</v>
      </c>
      <c r="C196" t="s">
        <v>53</v>
      </c>
      <c r="D196" t="s">
        <v>39</v>
      </c>
      <c r="E196">
        <v>13.7</v>
      </c>
      <c r="F196">
        <v>25724.3</v>
      </c>
      <c r="G196">
        <v>1010.4</v>
      </c>
      <c r="H196">
        <v>24713.9</v>
      </c>
      <c r="I196" t="s">
        <v>70</v>
      </c>
      <c r="J196">
        <v>4.93</v>
      </c>
      <c r="K196">
        <v>10716.98</v>
      </c>
      <c r="L196">
        <f t="shared" si="15"/>
        <v>1877.6861313868615</v>
      </c>
      <c r="M196" s="8">
        <f t="shared" si="16"/>
        <v>3.9278036720143988E-2</v>
      </c>
      <c r="N196" s="10">
        <f t="shared" si="17"/>
        <v>121839.527</v>
      </c>
      <c r="O196" s="10">
        <f t="shared" si="18"/>
        <v>111122.54700000001</v>
      </c>
      <c r="P196" s="9" t="str">
        <f t="shared" si="19"/>
        <v>OK</v>
      </c>
      <c r="Q196" s="9" t="str">
        <f>INDEX(Crops!$B$2:$B$7,MATCH(D196,Crops!$A$2:$A$7,0))</f>
        <v>Soybean</v>
      </c>
      <c r="R196" s="9" t="str">
        <f>INDEX(Districts!$B$2:$B$6,MATCH(C196,Districts!$A$2:$A$6,0))</f>
        <v>Hohoe</v>
      </c>
    </row>
    <row r="197" spans="1:18">
      <c r="A197" t="s">
        <v>163</v>
      </c>
      <c r="B197" s="4">
        <v>46109</v>
      </c>
      <c r="C197" t="s">
        <v>49</v>
      </c>
      <c r="D197" t="s">
        <v>33</v>
      </c>
      <c r="E197">
        <v>2.9</v>
      </c>
      <c r="F197">
        <v>8335.5</v>
      </c>
      <c r="G197">
        <v>617</v>
      </c>
      <c r="H197">
        <v>7718.5</v>
      </c>
      <c r="I197" t="s">
        <v>77</v>
      </c>
      <c r="J197">
        <v>5.85</v>
      </c>
      <c r="K197">
        <v>5125.54</v>
      </c>
      <c r="L197">
        <f t="shared" si="15"/>
        <v>2874.3103448275865</v>
      </c>
      <c r="M197" s="8">
        <f t="shared" si="16"/>
        <v>7.4020754603803016E-2</v>
      </c>
      <c r="N197" s="10">
        <f t="shared" si="17"/>
        <v>45153.224999999999</v>
      </c>
      <c r="O197" s="10">
        <f t="shared" si="18"/>
        <v>40027.684999999998</v>
      </c>
      <c r="P197" s="9" t="str">
        <f t="shared" si="19"/>
        <v>OK</v>
      </c>
      <c r="Q197" s="9" t="str">
        <f>INDEX(Crops!$B$2:$B$7,MATCH(D197,Crops!$A$2:$A$7,0))</f>
        <v>Rice</v>
      </c>
      <c r="R197" s="9" t="str">
        <f>INDEX(Districts!$B$2:$B$6,MATCH(C197,Districts!$A$2:$A$6,0))</f>
        <v>Tamale Metro</v>
      </c>
    </row>
    <row r="198" spans="1:18">
      <c r="A198" t="s">
        <v>110</v>
      </c>
      <c r="B198" s="4">
        <v>45855</v>
      </c>
      <c r="C198" t="s">
        <v>45</v>
      </c>
      <c r="D198" t="s">
        <v>31</v>
      </c>
      <c r="E198">
        <v>10.1</v>
      </c>
      <c r="F198">
        <v>15986.1</v>
      </c>
      <c r="G198">
        <v>1765.8</v>
      </c>
      <c r="H198">
        <v>14220.3</v>
      </c>
      <c r="I198" t="s">
        <v>65</v>
      </c>
      <c r="J198">
        <v>3.67</v>
      </c>
      <c r="K198">
        <v>11152.74</v>
      </c>
      <c r="L198">
        <f t="shared" si="15"/>
        <v>1582.7821782178219</v>
      </c>
      <c r="M198" s="8">
        <f t="shared" si="16"/>
        <v>0.11045846078780941</v>
      </c>
      <c r="N198" s="10">
        <f t="shared" si="17"/>
        <v>52188.500999999997</v>
      </c>
      <c r="O198" s="10">
        <f t="shared" si="18"/>
        <v>41035.760999999999</v>
      </c>
      <c r="P198" s="9" t="str">
        <f t="shared" si="19"/>
        <v>OK</v>
      </c>
      <c r="Q198" s="9" t="str">
        <f>INDEX(Crops!$B$2:$B$7,MATCH(D198,Crops!$A$2:$A$7,0))</f>
        <v>Maize</v>
      </c>
      <c r="R198" s="9" t="str">
        <f>INDEX(Districts!$B$2:$B$6,MATCH(C198,Districts!$A$2:$A$6,0))</f>
        <v>Ejura</v>
      </c>
    </row>
    <row r="199" spans="1:18">
      <c r="A199" t="s">
        <v>109</v>
      </c>
      <c r="B199" s="4">
        <v>45930</v>
      </c>
      <c r="C199" t="s">
        <v>47</v>
      </c>
      <c r="D199" t="s">
        <v>41</v>
      </c>
      <c r="E199">
        <v>4.9000000000000004</v>
      </c>
      <c r="F199">
        <v>28105</v>
      </c>
      <c r="G199">
        <v>1074.2</v>
      </c>
      <c r="H199">
        <v>27030.799999999999</v>
      </c>
      <c r="I199" t="s">
        <v>65</v>
      </c>
      <c r="J199">
        <v>2.54</v>
      </c>
      <c r="K199">
        <v>7243.95</v>
      </c>
      <c r="L199">
        <f t="shared" si="15"/>
        <v>5735.7142857142853</v>
      </c>
      <c r="M199" s="8">
        <f t="shared" si="16"/>
        <v>3.8220957125066714E-2</v>
      </c>
      <c r="N199" s="10">
        <f t="shared" si="17"/>
        <v>68658.232000000004</v>
      </c>
      <c r="O199" s="10">
        <f t="shared" si="18"/>
        <v>61414.282000000007</v>
      </c>
      <c r="P199" s="9" t="str">
        <f t="shared" si="19"/>
        <v>OK</v>
      </c>
      <c r="Q199" s="9" t="str">
        <f>INDEX(Crops!$B$2:$B$7,MATCH(D199,Crops!$A$2:$A$7,0))</f>
        <v>Cassava</v>
      </c>
      <c r="R199" s="9" t="str">
        <f>INDEX(Districts!$B$2:$B$6,MATCH(C199,Districts!$A$2:$A$6,0))</f>
        <v>Techiman</v>
      </c>
    </row>
    <row r="200" spans="1:18">
      <c r="A200" t="s">
        <v>98</v>
      </c>
      <c r="B200" s="4">
        <v>46029</v>
      </c>
      <c r="C200" t="s">
        <v>49</v>
      </c>
      <c r="D200" t="s">
        <v>37</v>
      </c>
      <c r="E200">
        <v>3.7</v>
      </c>
      <c r="F200">
        <v>17731.5</v>
      </c>
      <c r="G200">
        <v>1403.1</v>
      </c>
      <c r="H200">
        <v>16328.4</v>
      </c>
      <c r="I200" t="s">
        <v>70</v>
      </c>
      <c r="J200">
        <v>9.9499999999999993</v>
      </c>
      <c r="K200">
        <v>4850.9399999999996</v>
      </c>
      <c r="L200">
        <f t="shared" si="15"/>
        <v>4792.2972972972975</v>
      </c>
      <c r="M200" s="8">
        <f t="shared" si="16"/>
        <v>7.9130361221554854E-2</v>
      </c>
      <c r="N200" s="10">
        <f t="shared" si="17"/>
        <v>162467.57999999999</v>
      </c>
      <c r="O200" s="10">
        <f t="shared" si="18"/>
        <v>157616.63999999998</v>
      </c>
      <c r="P200" s="9" t="str">
        <f t="shared" si="19"/>
        <v>OK</v>
      </c>
      <c r="Q200" s="9" t="str">
        <f>INDEX(Crops!$B$2:$B$7,MATCH(D200,Crops!$A$2:$A$7,0))</f>
        <v>Pepper</v>
      </c>
      <c r="R200" s="9" t="str">
        <f>INDEX(Districts!$B$2:$B$6,MATCH(C200,Districts!$A$2:$A$6,0))</f>
        <v>Tamale Metro</v>
      </c>
    </row>
    <row r="201" spans="1:18">
      <c r="A201" t="s">
        <v>97</v>
      </c>
      <c r="B201" s="4">
        <v>46110</v>
      </c>
      <c r="C201" t="s">
        <v>53</v>
      </c>
      <c r="D201" t="s">
        <v>41</v>
      </c>
      <c r="E201">
        <v>2.2999999999999998</v>
      </c>
      <c r="F201">
        <v>17141</v>
      </c>
      <c r="G201">
        <v>542</v>
      </c>
      <c r="H201">
        <v>16599</v>
      </c>
      <c r="I201" t="s">
        <v>70</v>
      </c>
      <c r="J201">
        <v>2.5099999999999998</v>
      </c>
      <c r="K201">
        <v>2651.01</v>
      </c>
      <c r="L201">
        <f t="shared" si="15"/>
        <v>7452.6086956521749</v>
      </c>
      <c r="M201" s="8">
        <f t="shared" si="16"/>
        <v>3.1620092176652473E-2</v>
      </c>
      <c r="N201" s="10">
        <f t="shared" si="17"/>
        <v>41663.49</v>
      </c>
      <c r="O201" s="10">
        <f t="shared" si="18"/>
        <v>39012.479999999996</v>
      </c>
      <c r="P201" s="9" t="str">
        <f t="shared" si="19"/>
        <v>OK</v>
      </c>
      <c r="Q201" s="9" t="str">
        <f>INDEX(Crops!$B$2:$B$7,MATCH(D201,Crops!$A$2:$A$7,0))</f>
        <v>Cassava</v>
      </c>
      <c r="R201" s="9" t="str">
        <f>INDEX(Districts!$B$2:$B$6,MATCH(C201,Districts!$A$2:$A$6,0))</f>
        <v>Hohoe</v>
      </c>
    </row>
    <row r="202" spans="1:18">
      <c r="A202" t="s">
        <v>101</v>
      </c>
      <c r="B202" s="4">
        <v>45873</v>
      </c>
      <c r="C202" t="s">
        <v>49</v>
      </c>
      <c r="D202" t="s">
        <v>33</v>
      </c>
      <c r="E202">
        <v>8.1999999999999993</v>
      </c>
      <c r="F202">
        <v>15579</v>
      </c>
      <c r="G202">
        <v>2413.4</v>
      </c>
      <c r="H202">
        <v>13165.6</v>
      </c>
      <c r="I202" t="s">
        <v>77</v>
      </c>
      <c r="J202">
        <v>6.11</v>
      </c>
      <c r="K202">
        <v>11901.51</v>
      </c>
      <c r="L202">
        <f t="shared" si="15"/>
        <v>1899.8780487804879</v>
      </c>
      <c r="M202" s="8">
        <f t="shared" si="16"/>
        <v>0.15491366583221003</v>
      </c>
      <c r="N202" s="10">
        <f t="shared" si="17"/>
        <v>80441.816000000006</v>
      </c>
      <c r="O202" s="10">
        <f t="shared" si="18"/>
        <v>68540.306000000011</v>
      </c>
      <c r="P202" s="9" t="str">
        <f t="shared" si="19"/>
        <v>OK</v>
      </c>
      <c r="Q202" s="9" t="str">
        <f>INDEX(Crops!$B$2:$B$7,MATCH(D202,Crops!$A$2:$A$7,0))</f>
        <v>Rice</v>
      </c>
      <c r="R202" s="9" t="str">
        <f>INDEX(Districts!$B$2:$B$6,MATCH(C202,Districts!$A$2:$A$6,0))</f>
        <v>Tamale Metro</v>
      </c>
    </row>
    <row r="203" spans="1:18">
      <c r="A203" t="s">
        <v>199</v>
      </c>
      <c r="B203" s="4">
        <v>45913</v>
      </c>
      <c r="C203" t="s">
        <v>51</v>
      </c>
      <c r="D203" t="s">
        <v>31</v>
      </c>
      <c r="E203">
        <v>3.9</v>
      </c>
      <c r="F203">
        <v>6034.2</v>
      </c>
      <c r="G203">
        <v>892.4</v>
      </c>
      <c r="H203">
        <v>5141.8</v>
      </c>
      <c r="I203" t="s">
        <v>77</v>
      </c>
      <c r="J203">
        <v>3.35</v>
      </c>
      <c r="K203">
        <v>5961.92</v>
      </c>
      <c r="L203">
        <f t="shared" si="15"/>
        <v>1547.2307692307693</v>
      </c>
      <c r="M203" s="8">
        <f t="shared" si="16"/>
        <v>0.14789035829107422</v>
      </c>
      <c r="N203" s="10">
        <f t="shared" si="17"/>
        <v>17225.030000000002</v>
      </c>
      <c r="O203" s="10">
        <f t="shared" si="18"/>
        <v>11263.110000000002</v>
      </c>
      <c r="P203" s="9" t="str">
        <f t="shared" si="19"/>
        <v>OK</v>
      </c>
      <c r="Q203" s="9" t="str">
        <f>INDEX(Crops!$B$2:$B$7,MATCH(D203,Crops!$A$2:$A$7,0))</f>
        <v>Maize</v>
      </c>
      <c r="R203" s="9" t="str">
        <f>INDEX(Districts!$B$2:$B$6,MATCH(C203,Districts!$A$2:$A$6,0))</f>
        <v>Kintampo</v>
      </c>
    </row>
    <row r="204" spans="1:18">
      <c r="A204" t="s">
        <v>159</v>
      </c>
      <c r="B204" s="4">
        <v>45945</v>
      </c>
      <c r="C204" t="s">
        <v>45</v>
      </c>
      <c r="D204" t="s">
        <v>39</v>
      </c>
      <c r="E204">
        <v>7.5</v>
      </c>
      <c r="F204">
        <v>13471</v>
      </c>
      <c r="G204">
        <v>1830.8</v>
      </c>
      <c r="H204">
        <v>11640.2</v>
      </c>
      <c r="I204" t="s">
        <v>67</v>
      </c>
      <c r="J204">
        <v>5.0999999999999996</v>
      </c>
      <c r="K204">
        <v>10699.31</v>
      </c>
      <c r="L204">
        <f t="shared" si="15"/>
        <v>1796.1333333333334</v>
      </c>
      <c r="M204" s="8">
        <f t="shared" si="16"/>
        <v>0.13590676267537674</v>
      </c>
      <c r="N204" s="10">
        <f t="shared" si="17"/>
        <v>59365.02</v>
      </c>
      <c r="O204" s="10">
        <f t="shared" si="18"/>
        <v>48665.71</v>
      </c>
      <c r="P204" s="9" t="str">
        <f t="shared" si="19"/>
        <v>OK</v>
      </c>
      <c r="Q204" s="9" t="str">
        <f>INDEX(Crops!$B$2:$B$7,MATCH(D204,Crops!$A$2:$A$7,0))</f>
        <v>Soybean</v>
      </c>
      <c r="R204" s="9" t="str">
        <f>INDEX(Districts!$B$2:$B$6,MATCH(C204,Districts!$A$2:$A$6,0))</f>
        <v>Ejura</v>
      </c>
    </row>
    <row r="205" spans="1:18">
      <c r="A205" t="s">
        <v>200</v>
      </c>
      <c r="B205" s="4">
        <v>46011</v>
      </c>
      <c r="C205" t="s">
        <v>53</v>
      </c>
      <c r="D205" t="s">
        <v>31</v>
      </c>
      <c r="E205">
        <v>7.2</v>
      </c>
      <c r="F205">
        <v>8889.4</v>
      </c>
      <c r="G205">
        <v>771.4</v>
      </c>
      <c r="H205">
        <v>8118</v>
      </c>
      <c r="I205" t="s">
        <v>77</v>
      </c>
      <c r="J205">
        <v>3.66</v>
      </c>
      <c r="K205">
        <v>11598.74</v>
      </c>
      <c r="L205">
        <f t="shared" si="15"/>
        <v>1234.6388888888889</v>
      </c>
      <c r="M205" s="8">
        <f t="shared" si="16"/>
        <v>8.6777510293158139E-2</v>
      </c>
      <c r="N205" s="10">
        <f t="shared" si="17"/>
        <v>29711.88</v>
      </c>
      <c r="O205" s="10">
        <f t="shared" si="18"/>
        <v>18113.14</v>
      </c>
      <c r="P205" s="9" t="str">
        <f t="shared" si="19"/>
        <v>OK</v>
      </c>
      <c r="Q205" s="9" t="str">
        <f>INDEX(Crops!$B$2:$B$7,MATCH(D205,Crops!$A$2:$A$7,0))</f>
        <v>Maize</v>
      </c>
      <c r="R205" s="9" t="str">
        <f>INDEX(Districts!$B$2:$B$6,MATCH(C205,Districts!$A$2:$A$6,0))</f>
        <v>Hohoe</v>
      </c>
    </row>
    <row r="206" spans="1:18">
      <c r="A206" t="s">
        <v>201</v>
      </c>
      <c r="B206" s="4">
        <v>46074</v>
      </c>
      <c r="C206" t="s">
        <v>51</v>
      </c>
      <c r="D206" t="s">
        <v>33</v>
      </c>
      <c r="E206">
        <v>12.3</v>
      </c>
      <c r="F206">
        <v>24870.1</v>
      </c>
      <c r="G206">
        <v>1346.9</v>
      </c>
      <c r="H206">
        <v>23523.200000000001</v>
      </c>
      <c r="I206" t="s">
        <v>77</v>
      </c>
      <c r="J206">
        <v>6.62</v>
      </c>
      <c r="K206">
        <v>20393.63</v>
      </c>
      <c r="L206">
        <f t="shared" si="15"/>
        <v>2021.9593495934957</v>
      </c>
      <c r="M206" s="8">
        <f t="shared" si="16"/>
        <v>5.4157401860064902E-2</v>
      </c>
      <c r="N206" s="10">
        <f t="shared" si="17"/>
        <v>155723.584</v>
      </c>
      <c r="O206" s="10">
        <f t="shared" si="18"/>
        <v>135329.954</v>
      </c>
      <c r="P206" s="9" t="str">
        <f t="shared" si="19"/>
        <v>OK</v>
      </c>
      <c r="Q206" s="9" t="str">
        <f>INDEX(Crops!$B$2:$B$7,MATCH(D206,Crops!$A$2:$A$7,0))</f>
        <v>Rice</v>
      </c>
      <c r="R206" s="9" t="str">
        <f>INDEX(Districts!$B$2:$B$6,MATCH(C206,Districts!$A$2:$A$6,0))</f>
        <v>Kintampo</v>
      </c>
    </row>
    <row r="207" spans="1:18">
      <c r="A207" t="s">
        <v>152</v>
      </c>
      <c r="B207" s="4">
        <v>45982</v>
      </c>
      <c r="C207" t="s">
        <v>45</v>
      </c>
      <c r="D207" t="s">
        <v>35</v>
      </c>
      <c r="E207">
        <v>10.8</v>
      </c>
      <c r="F207">
        <v>72230.100000000006</v>
      </c>
      <c r="G207">
        <v>2029.9</v>
      </c>
      <c r="H207">
        <v>70200.2</v>
      </c>
      <c r="I207" t="s">
        <v>65</v>
      </c>
      <c r="J207">
        <v>6.8</v>
      </c>
      <c r="K207">
        <v>10867.51</v>
      </c>
      <c r="L207">
        <f t="shared" si="15"/>
        <v>6687.9722222222226</v>
      </c>
      <c r="M207" s="8">
        <f t="shared" si="16"/>
        <v>2.8103242277111619E-2</v>
      </c>
      <c r="N207" s="10">
        <f t="shared" si="17"/>
        <v>477361.36</v>
      </c>
      <c r="O207" s="10">
        <f t="shared" si="18"/>
        <v>466493.85</v>
      </c>
      <c r="P207" s="9" t="str">
        <f t="shared" si="19"/>
        <v>OK</v>
      </c>
      <c r="Q207" s="9" t="str">
        <f>INDEX(Crops!$B$2:$B$7,MATCH(D207,Crops!$A$2:$A$7,0))</f>
        <v>Tomato</v>
      </c>
      <c r="R207" s="9" t="str">
        <f>INDEX(Districts!$B$2:$B$6,MATCH(C207,Districts!$A$2:$A$6,0))</f>
        <v>Ejura</v>
      </c>
    </row>
    <row r="208" spans="1:18">
      <c r="A208" t="s">
        <v>181</v>
      </c>
      <c r="B208" s="4">
        <v>46070</v>
      </c>
      <c r="C208" t="s">
        <v>45</v>
      </c>
      <c r="D208" t="s">
        <v>41</v>
      </c>
      <c r="E208">
        <v>5.7</v>
      </c>
      <c r="F208">
        <v>34684.300000000003</v>
      </c>
      <c r="G208">
        <v>5406.4</v>
      </c>
      <c r="H208">
        <v>29277.9</v>
      </c>
      <c r="I208" t="s">
        <v>67</v>
      </c>
      <c r="J208">
        <v>2.85</v>
      </c>
      <c r="K208">
        <v>7065.25</v>
      </c>
      <c r="L208">
        <f t="shared" si="15"/>
        <v>6084.9649122807023</v>
      </c>
      <c r="M208" s="8">
        <f t="shared" si="16"/>
        <v>0.15587455995940525</v>
      </c>
      <c r="N208" s="10">
        <f t="shared" si="17"/>
        <v>83442.015000000014</v>
      </c>
      <c r="O208" s="10">
        <f t="shared" si="18"/>
        <v>76376.765000000014</v>
      </c>
      <c r="P208" s="9" t="str">
        <f t="shared" si="19"/>
        <v>OK</v>
      </c>
      <c r="Q208" s="9" t="str">
        <f>INDEX(Crops!$B$2:$B$7,MATCH(D208,Crops!$A$2:$A$7,0))</f>
        <v>Cassava</v>
      </c>
      <c r="R208" s="9" t="str">
        <f>INDEX(Districts!$B$2:$B$6,MATCH(C208,Districts!$A$2:$A$6,0))</f>
        <v>Ejura</v>
      </c>
    </row>
    <row r="209" spans="1:18">
      <c r="A209" t="s">
        <v>202</v>
      </c>
      <c r="B209" s="4">
        <v>46135</v>
      </c>
      <c r="C209" t="s">
        <v>53</v>
      </c>
      <c r="D209" t="s">
        <v>39</v>
      </c>
      <c r="E209">
        <v>5.6</v>
      </c>
      <c r="F209">
        <v>7716.5</v>
      </c>
      <c r="G209">
        <v>975.1</v>
      </c>
      <c r="H209">
        <v>6741.4</v>
      </c>
      <c r="I209" t="s">
        <v>77</v>
      </c>
      <c r="J209">
        <v>4.33</v>
      </c>
      <c r="K209">
        <v>3665.21</v>
      </c>
      <c r="L209">
        <f t="shared" si="15"/>
        <v>1377.9464285714287</v>
      </c>
      <c r="M209" s="8">
        <f t="shared" si="16"/>
        <v>0.12636558025011341</v>
      </c>
      <c r="N209" s="10">
        <f t="shared" si="17"/>
        <v>29190.261999999999</v>
      </c>
      <c r="O209" s="10">
        <f t="shared" si="18"/>
        <v>25525.052</v>
      </c>
      <c r="P209" s="9" t="str">
        <f t="shared" si="19"/>
        <v>OK</v>
      </c>
      <c r="Q209" s="9" t="str">
        <f>INDEX(Crops!$B$2:$B$7,MATCH(D209,Crops!$A$2:$A$7,0))</f>
        <v>Soybean</v>
      </c>
      <c r="R209" s="9" t="str">
        <f>INDEX(Districts!$B$2:$B$6,MATCH(C209,Districts!$A$2:$A$6,0))</f>
        <v>Hohoe</v>
      </c>
    </row>
    <row r="210" spans="1:18">
      <c r="A210" t="s">
        <v>203</v>
      </c>
      <c r="B210" s="4">
        <v>46059</v>
      </c>
      <c r="C210" t="s">
        <v>51</v>
      </c>
      <c r="D210" t="s">
        <v>37</v>
      </c>
      <c r="E210">
        <v>4.5999999999999996</v>
      </c>
      <c r="F210">
        <v>28169.5</v>
      </c>
      <c r="G210">
        <v>3717.5</v>
      </c>
      <c r="H210">
        <v>24452</v>
      </c>
      <c r="I210" t="s">
        <v>70</v>
      </c>
      <c r="J210">
        <v>8.2899999999999991</v>
      </c>
      <c r="K210">
        <v>8261.2999999999993</v>
      </c>
      <c r="L210">
        <f t="shared" si="15"/>
        <v>6123.804347826087</v>
      </c>
      <c r="M210" s="8">
        <f t="shared" si="16"/>
        <v>0.13196897353520651</v>
      </c>
      <c r="N210" s="10">
        <f t="shared" si="17"/>
        <v>202707.08</v>
      </c>
      <c r="O210" s="10">
        <f t="shared" si="18"/>
        <v>194445.78</v>
      </c>
      <c r="P210" s="9" t="str">
        <f t="shared" si="19"/>
        <v>OK</v>
      </c>
      <c r="Q210" s="9" t="str">
        <f>INDEX(Crops!$B$2:$B$7,MATCH(D210,Crops!$A$2:$A$7,0))</f>
        <v>Pepper</v>
      </c>
      <c r="R210" s="9" t="str">
        <f>INDEX(Districts!$B$2:$B$6,MATCH(C210,Districts!$A$2:$A$6,0))</f>
        <v>Kintampo</v>
      </c>
    </row>
    <row r="211" spans="1:18">
      <c r="A211" t="s">
        <v>185</v>
      </c>
      <c r="B211" s="4">
        <v>45878</v>
      </c>
      <c r="C211" t="s">
        <v>47</v>
      </c>
      <c r="D211" t="s">
        <v>35</v>
      </c>
      <c r="E211">
        <v>5.9</v>
      </c>
      <c r="F211">
        <v>47879.3</v>
      </c>
      <c r="G211">
        <v>3954.1</v>
      </c>
      <c r="H211">
        <v>43925.2</v>
      </c>
      <c r="I211" t="s">
        <v>65</v>
      </c>
      <c r="J211">
        <v>7.74</v>
      </c>
      <c r="K211">
        <v>4771.38</v>
      </c>
      <c r="L211">
        <f t="shared" si="15"/>
        <v>8115.1355932203387</v>
      </c>
      <c r="M211" s="8">
        <f t="shared" si="16"/>
        <v>8.2584749568184998E-2</v>
      </c>
      <c r="N211" s="10">
        <f t="shared" si="17"/>
        <v>339981.04800000001</v>
      </c>
      <c r="O211" s="10">
        <f t="shared" si="18"/>
        <v>335209.66800000001</v>
      </c>
      <c r="P211" s="9" t="str">
        <f t="shared" si="19"/>
        <v>OK</v>
      </c>
      <c r="Q211" s="9" t="str">
        <f>INDEX(Crops!$B$2:$B$7,MATCH(D211,Crops!$A$2:$A$7,0))</f>
        <v>Tomato</v>
      </c>
      <c r="R211" s="9" t="str">
        <f>INDEX(Districts!$B$2:$B$6,MATCH(C211,Districts!$A$2:$A$6,0))</f>
        <v>Techiman</v>
      </c>
    </row>
    <row r="212" spans="1:18">
      <c r="A212" t="s">
        <v>151</v>
      </c>
      <c r="B212" s="4">
        <v>45899</v>
      </c>
      <c r="C212" t="s">
        <v>53</v>
      </c>
      <c r="D212" t="s">
        <v>39</v>
      </c>
      <c r="E212">
        <v>6</v>
      </c>
      <c r="F212">
        <v>10857.9</v>
      </c>
      <c r="G212">
        <v>923.5</v>
      </c>
      <c r="H212">
        <v>9934.4</v>
      </c>
      <c r="I212" t="s">
        <v>67</v>
      </c>
      <c r="J212">
        <v>4.51</v>
      </c>
      <c r="K212">
        <v>5479.79</v>
      </c>
      <c r="L212">
        <f t="shared" si="15"/>
        <v>1809.6499999999999</v>
      </c>
      <c r="M212" s="8">
        <f t="shared" si="16"/>
        <v>8.5053279179215138E-2</v>
      </c>
      <c r="N212" s="10">
        <f t="shared" si="17"/>
        <v>44804.143999999993</v>
      </c>
      <c r="O212" s="10">
        <f t="shared" si="18"/>
        <v>39324.353999999992</v>
      </c>
      <c r="P212" s="9" t="str">
        <f t="shared" si="19"/>
        <v>OK</v>
      </c>
      <c r="Q212" s="9" t="str">
        <f>INDEX(Crops!$B$2:$B$7,MATCH(D212,Crops!$A$2:$A$7,0))</f>
        <v>Soybean</v>
      </c>
      <c r="R212" s="9" t="str">
        <f>INDEX(Districts!$B$2:$B$6,MATCH(C212,Districts!$A$2:$A$6,0))</f>
        <v>Hohoe</v>
      </c>
    </row>
    <row r="213" spans="1:18">
      <c r="A213" t="s">
        <v>197</v>
      </c>
      <c r="B213" s="4">
        <v>45932</v>
      </c>
      <c r="C213" t="s">
        <v>45</v>
      </c>
      <c r="D213" t="s">
        <v>31</v>
      </c>
      <c r="E213">
        <v>4.5999999999999996</v>
      </c>
      <c r="F213">
        <v>8429.5</v>
      </c>
      <c r="G213">
        <v>723.4</v>
      </c>
      <c r="H213">
        <v>7706.1</v>
      </c>
      <c r="I213" t="s">
        <v>67</v>
      </c>
      <c r="J213">
        <v>2.74</v>
      </c>
      <c r="K213">
        <v>4928.9399999999996</v>
      </c>
      <c r="L213">
        <f t="shared" si="15"/>
        <v>1832.5000000000002</v>
      </c>
      <c r="M213" s="8">
        <f t="shared" si="16"/>
        <v>8.5817664155643861E-2</v>
      </c>
      <c r="N213" s="10">
        <f t="shared" si="17"/>
        <v>21114.714000000004</v>
      </c>
      <c r="O213" s="10">
        <f t="shared" si="18"/>
        <v>16185.774000000005</v>
      </c>
      <c r="P213" s="9" t="str">
        <f t="shared" si="19"/>
        <v>OK</v>
      </c>
      <c r="Q213" s="9" t="str">
        <f>INDEX(Crops!$B$2:$B$7,MATCH(D213,Crops!$A$2:$A$7,0))</f>
        <v>Maize</v>
      </c>
      <c r="R213" s="9" t="str">
        <f>INDEX(Districts!$B$2:$B$6,MATCH(C213,Districts!$A$2:$A$6,0))</f>
        <v>Ejura</v>
      </c>
    </row>
    <row r="214" spans="1:18">
      <c r="A214" t="s">
        <v>89</v>
      </c>
      <c r="B214" s="4">
        <v>46079</v>
      </c>
      <c r="C214" t="s">
        <v>51</v>
      </c>
      <c r="D214" t="s">
        <v>33</v>
      </c>
      <c r="E214">
        <v>15</v>
      </c>
      <c r="F214">
        <v>42073.9</v>
      </c>
      <c r="G214">
        <v>5835.1</v>
      </c>
      <c r="H214">
        <v>36238.800000000003</v>
      </c>
      <c r="I214" t="s">
        <v>67</v>
      </c>
      <c r="J214">
        <v>6.5</v>
      </c>
      <c r="K214">
        <v>24259</v>
      </c>
      <c r="L214">
        <f t="shared" si="15"/>
        <v>2804.9266666666667</v>
      </c>
      <c r="M214" s="8">
        <f t="shared" si="16"/>
        <v>0.13868692942655661</v>
      </c>
      <c r="N214" s="10">
        <f t="shared" si="17"/>
        <v>235552.2</v>
      </c>
      <c r="O214" s="10">
        <f t="shared" si="18"/>
        <v>211293.2</v>
      </c>
      <c r="P214" s="9" t="str">
        <f t="shared" si="19"/>
        <v>OK</v>
      </c>
      <c r="Q214" s="9" t="str">
        <f>INDEX(Crops!$B$2:$B$7,MATCH(D214,Crops!$A$2:$A$7,0))</f>
        <v>Rice</v>
      </c>
      <c r="R214" s="9" t="str">
        <f>INDEX(Districts!$B$2:$B$6,MATCH(C214,Districts!$A$2:$A$6,0))</f>
        <v>Kintampo</v>
      </c>
    </row>
    <row r="215" spans="1:18">
      <c r="A215" t="s">
        <v>204</v>
      </c>
      <c r="B215" s="4">
        <v>45889</v>
      </c>
      <c r="C215" t="s">
        <v>45</v>
      </c>
      <c r="D215" t="s">
        <v>39</v>
      </c>
      <c r="E215">
        <v>8.3000000000000007</v>
      </c>
      <c r="F215">
        <v>12917.2</v>
      </c>
      <c r="G215">
        <v>349</v>
      </c>
      <c r="H215">
        <v>12568.2</v>
      </c>
      <c r="I215" t="s">
        <v>77</v>
      </c>
      <c r="J215">
        <v>5.04</v>
      </c>
      <c r="K215">
        <v>6372.41</v>
      </c>
      <c r="L215">
        <f t="shared" si="15"/>
        <v>1556.2891566265059</v>
      </c>
      <c r="M215" s="8">
        <f t="shared" si="16"/>
        <v>2.7018239246895611E-2</v>
      </c>
      <c r="N215" s="10">
        <f t="shared" si="17"/>
        <v>63343.728000000003</v>
      </c>
      <c r="O215" s="10">
        <f t="shared" si="18"/>
        <v>56971.317999999999</v>
      </c>
      <c r="P215" s="9" t="str">
        <f t="shared" si="19"/>
        <v>OK</v>
      </c>
      <c r="Q215" s="9" t="str">
        <f>INDEX(Crops!$B$2:$B$7,MATCH(D215,Crops!$A$2:$A$7,0))</f>
        <v>Soybean</v>
      </c>
      <c r="R215" s="9" t="str">
        <f>INDEX(Districts!$B$2:$B$6,MATCH(C215,Districts!$A$2:$A$6,0))</f>
        <v>Ejura</v>
      </c>
    </row>
    <row r="216" spans="1:18">
      <c r="A216" t="s">
        <v>175</v>
      </c>
      <c r="B216" s="4">
        <v>46158</v>
      </c>
      <c r="C216" t="s">
        <v>45</v>
      </c>
      <c r="D216" t="s">
        <v>37</v>
      </c>
      <c r="E216">
        <v>10.8</v>
      </c>
      <c r="F216">
        <v>66981.3</v>
      </c>
      <c r="G216">
        <v>7236.7</v>
      </c>
      <c r="H216">
        <v>59744.6</v>
      </c>
      <c r="I216" t="s">
        <v>67</v>
      </c>
      <c r="J216">
        <v>7.72</v>
      </c>
      <c r="K216">
        <v>16142.19</v>
      </c>
      <c r="L216">
        <f t="shared" si="15"/>
        <v>6201.9722222222217</v>
      </c>
      <c r="M216" s="8">
        <f t="shared" si="16"/>
        <v>0.10804060237708135</v>
      </c>
      <c r="N216" s="10">
        <f t="shared" si="17"/>
        <v>461228.31199999998</v>
      </c>
      <c r="O216" s="10">
        <f t="shared" si="18"/>
        <v>445086.12199999997</v>
      </c>
      <c r="P216" s="9" t="str">
        <f t="shared" si="19"/>
        <v>OK</v>
      </c>
      <c r="Q216" s="9" t="str">
        <f>INDEX(Crops!$B$2:$B$7,MATCH(D216,Crops!$A$2:$A$7,0))</f>
        <v>Pepper</v>
      </c>
      <c r="R216" s="9" t="str">
        <f>INDEX(Districts!$B$2:$B$6,MATCH(C216,Districts!$A$2:$A$6,0))</f>
        <v>Ejura</v>
      </c>
    </row>
    <row r="217" spans="1:18">
      <c r="A217" t="s">
        <v>205</v>
      </c>
      <c r="B217" s="4">
        <v>45881</v>
      </c>
      <c r="C217" t="s">
        <v>49</v>
      </c>
      <c r="D217" t="s">
        <v>39</v>
      </c>
      <c r="E217">
        <v>10</v>
      </c>
      <c r="F217">
        <v>14455.5</v>
      </c>
      <c r="G217">
        <v>1619.4</v>
      </c>
      <c r="H217">
        <v>12836.1</v>
      </c>
      <c r="I217" t="s">
        <v>65</v>
      </c>
      <c r="J217">
        <v>3.98</v>
      </c>
      <c r="K217">
        <v>13591.86</v>
      </c>
      <c r="L217">
        <f t="shared" si="15"/>
        <v>1445.55</v>
      </c>
      <c r="M217" s="8">
        <f t="shared" si="16"/>
        <v>0.11202656428349073</v>
      </c>
      <c r="N217" s="10">
        <f t="shared" si="17"/>
        <v>51087.678</v>
      </c>
      <c r="O217" s="10">
        <f t="shared" si="18"/>
        <v>37495.817999999999</v>
      </c>
      <c r="P217" s="9" t="str">
        <f t="shared" si="19"/>
        <v>OK</v>
      </c>
      <c r="Q217" s="9" t="str">
        <f>INDEX(Crops!$B$2:$B$7,MATCH(D217,Crops!$A$2:$A$7,0))</f>
        <v>Soybean</v>
      </c>
      <c r="R217" s="9" t="str">
        <f>INDEX(Districts!$B$2:$B$6,MATCH(C217,Districts!$A$2:$A$6,0))</f>
        <v>Tamale Metro</v>
      </c>
    </row>
    <row r="218" spans="1:18">
      <c r="A218" t="s">
        <v>206</v>
      </c>
      <c r="B218" s="4">
        <v>46086</v>
      </c>
      <c r="C218" t="s">
        <v>45</v>
      </c>
      <c r="D218" t="s">
        <v>37</v>
      </c>
      <c r="E218">
        <v>13.6</v>
      </c>
      <c r="F218">
        <v>58261.1</v>
      </c>
      <c r="G218">
        <v>4618.5</v>
      </c>
      <c r="H218">
        <v>53642.6</v>
      </c>
      <c r="I218" t="s">
        <v>77</v>
      </c>
      <c r="J218">
        <v>10.41</v>
      </c>
      <c r="K218">
        <v>23921.18</v>
      </c>
      <c r="L218">
        <f t="shared" si="15"/>
        <v>4283.9044117647063</v>
      </c>
      <c r="M218" s="8">
        <f t="shared" si="16"/>
        <v>7.9272447653751812E-2</v>
      </c>
      <c r="N218" s="10">
        <f t="shared" si="17"/>
        <v>558419.46600000001</v>
      </c>
      <c r="O218" s="10">
        <f t="shared" si="18"/>
        <v>534498.28599999996</v>
      </c>
      <c r="P218" s="9" t="str">
        <f t="shared" si="19"/>
        <v>OK</v>
      </c>
      <c r="Q218" s="9" t="str">
        <f>INDEX(Crops!$B$2:$B$7,MATCH(D218,Crops!$A$2:$A$7,0))</f>
        <v>Pepper</v>
      </c>
      <c r="R218" s="9" t="str">
        <f>INDEX(Districts!$B$2:$B$6,MATCH(C218,Districts!$A$2:$A$6,0))</f>
        <v>Ejura</v>
      </c>
    </row>
    <row r="219" spans="1:18">
      <c r="A219" t="s">
        <v>207</v>
      </c>
      <c r="B219" s="4">
        <v>46066</v>
      </c>
      <c r="C219" t="s">
        <v>51</v>
      </c>
      <c r="D219" t="s">
        <v>35</v>
      </c>
      <c r="E219">
        <v>12.5</v>
      </c>
      <c r="F219">
        <v>98698</v>
      </c>
      <c r="G219">
        <v>12500.3</v>
      </c>
      <c r="H219">
        <v>86197.7</v>
      </c>
      <c r="I219" t="s">
        <v>70</v>
      </c>
      <c r="J219">
        <v>7.56</v>
      </c>
      <c r="K219">
        <v>15512.52</v>
      </c>
      <c r="L219">
        <f t="shared" si="15"/>
        <v>7895.84</v>
      </c>
      <c r="M219" s="8">
        <f t="shared" si="16"/>
        <v>0.12665200915925348</v>
      </c>
      <c r="N219" s="10">
        <f t="shared" si="17"/>
        <v>651654.61199999996</v>
      </c>
      <c r="O219" s="10">
        <f t="shared" si="18"/>
        <v>636142.09199999995</v>
      </c>
      <c r="P219" s="9" t="str">
        <f t="shared" si="19"/>
        <v>OK</v>
      </c>
      <c r="Q219" s="9" t="str">
        <f>INDEX(Crops!$B$2:$B$7,MATCH(D219,Crops!$A$2:$A$7,0))</f>
        <v>Tomato</v>
      </c>
      <c r="R219" s="9" t="str">
        <f>INDEX(Districts!$B$2:$B$6,MATCH(C219,Districts!$A$2:$A$6,0))</f>
        <v>Kintampo</v>
      </c>
    </row>
    <row r="220" spans="1:18">
      <c r="A220" t="s">
        <v>151</v>
      </c>
      <c r="B220" s="4">
        <v>46198</v>
      </c>
      <c r="C220" t="s">
        <v>49</v>
      </c>
      <c r="D220" t="s">
        <v>39</v>
      </c>
      <c r="E220">
        <v>14.3</v>
      </c>
      <c r="F220">
        <v>15693.2</v>
      </c>
      <c r="G220">
        <v>2020.8</v>
      </c>
      <c r="H220">
        <v>13672.4</v>
      </c>
      <c r="I220" t="s">
        <v>70</v>
      </c>
      <c r="J220">
        <v>4.59</v>
      </c>
      <c r="K220">
        <v>19102.72</v>
      </c>
      <c r="L220">
        <f t="shared" si="15"/>
        <v>1097.4265734265734</v>
      </c>
      <c r="M220" s="8">
        <f t="shared" si="16"/>
        <v>0.12876914842097212</v>
      </c>
      <c r="N220" s="10">
        <f t="shared" si="17"/>
        <v>62756.315999999999</v>
      </c>
      <c r="O220" s="10">
        <f t="shared" si="18"/>
        <v>43653.595999999998</v>
      </c>
      <c r="P220" s="9" t="str">
        <f t="shared" si="19"/>
        <v>OK</v>
      </c>
      <c r="Q220" s="9" t="str">
        <f>INDEX(Crops!$B$2:$B$7,MATCH(D220,Crops!$A$2:$A$7,0))</f>
        <v>Soybean</v>
      </c>
      <c r="R220" s="9" t="str">
        <f>INDEX(Districts!$B$2:$B$6,MATCH(C220,Districts!$A$2:$A$6,0))</f>
        <v>Tamale Metro</v>
      </c>
    </row>
    <row r="221" spans="1:18">
      <c r="A221" t="s">
        <v>208</v>
      </c>
      <c r="B221" s="4">
        <v>46156</v>
      </c>
      <c r="C221" t="s">
        <v>53</v>
      </c>
      <c r="D221" t="s">
        <v>31</v>
      </c>
      <c r="E221">
        <v>9.3000000000000007</v>
      </c>
      <c r="F221">
        <v>14504.2</v>
      </c>
      <c r="G221">
        <v>1481.1</v>
      </c>
      <c r="H221">
        <v>13023.1</v>
      </c>
      <c r="I221" t="s">
        <v>77</v>
      </c>
      <c r="J221">
        <v>2.95</v>
      </c>
      <c r="K221">
        <v>8256.65</v>
      </c>
      <c r="L221">
        <f t="shared" si="15"/>
        <v>1559.5913978494623</v>
      </c>
      <c r="M221" s="8">
        <f t="shared" si="16"/>
        <v>0.10211524937604279</v>
      </c>
      <c r="N221" s="10">
        <f t="shared" si="17"/>
        <v>38418.145000000004</v>
      </c>
      <c r="O221" s="10">
        <f t="shared" si="18"/>
        <v>30161.495000000003</v>
      </c>
      <c r="P221" s="9" t="str">
        <f t="shared" si="19"/>
        <v>OK</v>
      </c>
      <c r="Q221" s="9" t="str">
        <f>INDEX(Crops!$B$2:$B$7,MATCH(D221,Crops!$A$2:$A$7,0))</f>
        <v>Maize</v>
      </c>
      <c r="R221" s="9" t="str">
        <f>INDEX(Districts!$B$2:$B$6,MATCH(C221,Districts!$A$2:$A$6,0))</f>
        <v>Hohoe</v>
      </c>
    </row>
    <row r="222" spans="1:18">
      <c r="A222" t="s">
        <v>163</v>
      </c>
      <c r="B222" s="4">
        <v>46168</v>
      </c>
      <c r="C222" t="s">
        <v>49</v>
      </c>
      <c r="D222" t="s">
        <v>37</v>
      </c>
      <c r="E222">
        <v>10.1</v>
      </c>
      <c r="F222">
        <v>42972.800000000003</v>
      </c>
      <c r="G222">
        <v>1992.8</v>
      </c>
      <c r="H222">
        <v>40980</v>
      </c>
      <c r="I222" t="s">
        <v>77</v>
      </c>
      <c r="J222">
        <v>9.69</v>
      </c>
      <c r="K222">
        <v>17031.990000000002</v>
      </c>
      <c r="L222">
        <f t="shared" si="15"/>
        <v>4254.7326732673273</v>
      </c>
      <c r="M222" s="8">
        <f t="shared" si="16"/>
        <v>4.6373519994042739E-2</v>
      </c>
      <c r="N222" s="10">
        <f t="shared" si="17"/>
        <v>397096.19999999995</v>
      </c>
      <c r="O222" s="10">
        <f t="shared" si="18"/>
        <v>380064.20999999996</v>
      </c>
      <c r="P222" s="9" t="str">
        <f t="shared" si="19"/>
        <v>OK</v>
      </c>
      <c r="Q222" s="9" t="str">
        <f>INDEX(Crops!$B$2:$B$7,MATCH(D222,Crops!$A$2:$A$7,0))</f>
        <v>Pepper</v>
      </c>
      <c r="R222" s="9" t="str">
        <f>INDEX(Districts!$B$2:$B$6,MATCH(C222,Districts!$A$2:$A$6,0))</f>
        <v>Tamale Metro</v>
      </c>
    </row>
    <row r="223" spans="1:18">
      <c r="A223" t="s">
        <v>95</v>
      </c>
      <c r="B223" s="4">
        <v>45983</v>
      </c>
      <c r="C223" t="s">
        <v>51</v>
      </c>
      <c r="D223" t="s">
        <v>41</v>
      </c>
      <c r="E223">
        <v>1.3</v>
      </c>
      <c r="F223">
        <v>5799.5</v>
      </c>
      <c r="G223">
        <v>397.9</v>
      </c>
      <c r="H223">
        <v>5401.6</v>
      </c>
      <c r="I223" t="s">
        <v>77</v>
      </c>
      <c r="J223">
        <v>2.17</v>
      </c>
      <c r="K223">
        <v>1865.54</v>
      </c>
      <c r="L223">
        <f t="shared" si="15"/>
        <v>4461.1538461538457</v>
      </c>
      <c r="M223" s="8">
        <f t="shared" si="16"/>
        <v>6.8609362876110011E-2</v>
      </c>
      <c r="N223" s="10">
        <f t="shared" si="17"/>
        <v>11721.472</v>
      </c>
      <c r="O223" s="10">
        <f t="shared" si="18"/>
        <v>9855.9320000000007</v>
      </c>
      <c r="P223" s="9" t="str">
        <f t="shared" si="19"/>
        <v>OK</v>
      </c>
      <c r="Q223" s="9" t="str">
        <f>INDEX(Crops!$B$2:$B$7,MATCH(D223,Crops!$A$2:$A$7,0))</f>
        <v>Cassava</v>
      </c>
      <c r="R223" s="9" t="str">
        <f>INDEX(Districts!$B$2:$B$6,MATCH(C223,Districts!$A$2:$A$6,0))</f>
        <v>Kintampo</v>
      </c>
    </row>
    <row r="224" spans="1:18">
      <c r="A224" t="s">
        <v>125</v>
      </c>
      <c r="B224" s="4">
        <v>46009</v>
      </c>
      <c r="C224" t="s">
        <v>53</v>
      </c>
      <c r="D224" t="s">
        <v>35</v>
      </c>
      <c r="E224">
        <v>14</v>
      </c>
      <c r="F224">
        <v>81040.899999999994</v>
      </c>
      <c r="G224">
        <v>8743.4</v>
      </c>
      <c r="H224">
        <v>72297.5</v>
      </c>
      <c r="I224" t="s">
        <v>70</v>
      </c>
      <c r="J224">
        <v>6.63</v>
      </c>
      <c r="K224">
        <v>16910.05</v>
      </c>
      <c r="L224">
        <f t="shared" si="15"/>
        <v>5788.6357142857141</v>
      </c>
      <c r="M224" s="8">
        <f t="shared" si="16"/>
        <v>0.10788873272631475</v>
      </c>
      <c r="N224" s="10">
        <f t="shared" si="17"/>
        <v>479332.42499999999</v>
      </c>
      <c r="O224" s="10">
        <f t="shared" si="18"/>
        <v>462422.375</v>
      </c>
      <c r="P224" s="9" t="str">
        <f t="shared" si="19"/>
        <v>OK</v>
      </c>
      <c r="Q224" s="9" t="str">
        <f>INDEX(Crops!$B$2:$B$7,MATCH(D224,Crops!$A$2:$A$7,0))</f>
        <v>Tomato</v>
      </c>
      <c r="R224" s="9" t="str">
        <f>INDEX(Districts!$B$2:$B$6,MATCH(C224,Districts!$A$2:$A$6,0))</f>
        <v>Hohoe</v>
      </c>
    </row>
    <row r="225" spans="1:18">
      <c r="A225" t="s">
        <v>95</v>
      </c>
      <c r="B225" s="4">
        <v>45856</v>
      </c>
      <c r="C225" t="s">
        <v>47</v>
      </c>
      <c r="D225" t="s">
        <v>39</v>
      </c>
      <c r="E225">
        <v>5.9</v>
      </c>
      <c r="F225">
        <v>7021.4</v>
      </c>
      <c r="G225">
        <v>298.89999999999998</v>
      </c>
      <c r="H225">
        <v>6722.5</v>
      </c>
      <c r="I225" t="s">
        <v>67</v>
      </c>
      <c r="J225">
        <v>5.25</v>
      </c>
      <c r="K225">
        <v>9655.15</v>
      </c>
      <c r="L225">
        <f t="shared" si="15"/>
        <v>1190.0677966101694</v>
      </c>
      <c r="M225" s="8">
        <f t="shared" si="16"/>
        <v>4.2569857863104223E-2</v>
      </c>
      <c r="N225" s="10">
        <f t="shared" si="17"/>
        <v>35293.125</v>
      </c>
      <c r="O225" s="10">
        <f t="shared" si="18"/>
        <v>25637.974999999999</v>
      </c>
      <c r="P225" s="9" t="str">
        <f t="shared" si="19"/>
        <v>OK</v>
      </c>
      <c r="Q225" s="9" t="str">
        <f>INDEX(Crops!$B$2:$B$7,MATCH(D225,Crops!$A$2:$A$7,0))</f>
        <v>Soybean</v>
      </c>
      <c r="R225" s="9" t="str">
        <f>INDEX(Districts!$B$2:$B$6,MATCH(C225,Districts!$A$2:$A$6,0))</f>
        <v>Techiman</v>
      </c>
    </row>
    <row r="226" spans="1:18">
      <c r="A226" t="s">
        <v>104</v>
      </c>
      <c r="B226" s="4">
        <v>46087</v>
      </c>
      <c r="C226" t="s">
        <v>51</v>
      </c>
      <c r="D226" t="s">
        <v>37</v>
      </c>
      <c r="E226">
        <v>7.3</v>
      </c>
      <c r="F226">
        <v>24529.4</v>
      </c>
      <c r="G226">
        <v>675.6</v>
      </c>
      <c r="H226">
        <v>23853.8</v>
      </c>
      <c r="I226" t="s">
        <v>67</v>
      </c>
      <c r="J226">
        <v>8.93</v>
      </c>
      <c r="K226">
        <v>9660.34</v>
      </c>
      <c r="L226">
        <f t="shared" si="15"/>
        <v>3360.1917808219182</v>
      </c>
      <c r="M226" s="8">
        <f t="shared" si="16"/>
        <v>2.7542459252978057E-2</v>
      </c>
      <c r="N226" s="10">
        <f t="shared" si="17"/>
        <v>213014.43399999998</v>
      </c>
      <c r="O226" s="10">
        <f t="shared" si="18"/>
        <v>203354.09399999998</v>
      </c>
      <c r="P226" s="9" t="str">
        <f t="shared" si="19"/>
        <v>OK</v>
      </c>
      <c r="Q226" s="9" t="str">
        <f>INDEX(Crops!$B$2:$B$7,MATCH(D226,Crops!$A$2:$A$7,0))</f>
        <v>Pepper</v>
      </c>
      <c r="R226" s="9" t="str">
        <f>INDEX(Districts!$B$2:$B$6,MATCH(C226,Districts!$A$2:$A$6,0))</f>
        <v>Kintampo</v>
      </c>
    </row>
    <row r="227" spans="1:18">
      <c r="A227" t="s">
        <v>182</v>
      </c>
      <c r="B227" s="4">
        <v>46163</v>
      </c>
      <c r="C227" t="s">
        <v>51</v>
      </c>
      <c r="D227" t="s">
        <v>37</v>
      </c>
      <c r="E227">
        <v>5.8</v>
      </c>
      <c r="F227">
        <v>20918.099999999999</v>
      </c>
      <c r="G227">
        <v>2874.7</v>
      </c>
      <c r="H227">
        <v>18043.400000000001</v>
      </c>
      <c r="I227" t="s">
        <v>67</v>
      </c>
      <c r="J227">
        <v>7.89</v>
      </c>
      <c r="K227">
        <v>4472.6899999999996</v>
      </c>
      <c r="L227">
        <f t="shared" si="15"/>
        <v>3606.5689655172414</v>
      </c>
      <c r="M227" s="8">
        <f t="shared" si="16"/>
        <v>0.13742643930376086</v>
      </c>
      <c r="N227" s="10">
        <f t="shared" si="17"/>
        <v>142362.42600000001</v>
      </c>
      <c r="O227" s="10">
        <f t="shared" si="18"/>
        <v>137889.736</v>
      </c>
      <c r="P227" s="9" t="str">
        <f t="shared" si="19"/>
        <v>OK</v>
      </c>
      <c r="Q227" s="9" t="str">
        <f>INDEX(Crops!$B$2:$B$7,MATCH(D227,Crops!$A$2:$A$7,0))</f>
        <v>Pepper</v>
      </c>
      <c r="R227" s="9" t="str">
        <f>INDEX(Districts!$B$2:$B$6,MATCH(C227,Districts!$A$2:$A$6,0))</f>
        <v>Kintampo</v>
      </c>
    </row>
    <row r="228" spans="1:18">
      <c r="A228" t="s">
        <v>127</v>
      </c>
      <c r="B228" s="4">
        <v>45923</v>
      </c>
      <c r="C228" t="s">
        <v>53</v>
      </c>
      <c r="D228" t="s">
        <v>33</v>
      </c>
      <c r="E228">
        <v>2</v>
      </c>
      <c r="F228">
        <v>4322.8999999999996</v>
      </c>
      <c r="G228">
        <v>625.70000000000005</v>
      </c>
      <c r="H228">
        <v>3697.2</v>
      </c>
      <c r="I228" t="s">
        <v>65</v>
      </c>
      <c r="J228">
        <v>6.72</v>
      </c>
      <c r="K228">
        <v>1521.92</v>
      </c>
      <c r="L228">
        <f t="shared" si="15"/>
        <v>2161.4499999999998</v>
      </c>
      <c r="M228" s="8">
        <f t="shared" si="16"/>
        <v>0.14474079900067086</v>
      </c>
      <c r="N228" s="10">
        <f t="shared" si="17"/>
        <v>24845.183999999997</v>
      </c>
      <c r="O228" s="10">
        <f t="shared" si="18"/>
        <v>23323.263999999996</v>
      </c>
      <c r="P228" s="9" t="str">
        <f t="shared" si="19"/>
        <v>OK</v>
      </c>
      <c r="Q228" s="9" t="str">
        <f>INDEX(Crops!$B$2:$B$7,MATCH(D228,Crops!$A$2:$A$7,0))</f>
        <v>Rice</v>
      </c>
      <c r="R228" s="9" t="str">
        <f>INDEX(Districts!$B$2:$B$6,MATCH(C228,Districts!$A$2:$A$6,0))</f>
        <v>Hohoe</v>
      </c>
    </row>
    <row r="229" spans="1:18">
      <c r="A229" t="s">
        <v>209</v>
      </c>
      <c r="B229" s="4">
        <v>46021</v>
      </c>
      <c r="C229" t="s">
        <v>45</v>
      </c>
      <c r="D229" t="s">
        <v>33</v>
      </c>
      <c r="E229">
        <v>8.5</v>
      </c>
      <c r="F229">
        <v>17422.099999999999</v>
      </c>
      <c r="G229">
        <v>1307.2</v>
      </c>
      <c r="H229">
        <v>16114.9</v>
      </c>
      <c r="I229" t="s">
        <v>65</v>
      </c>
      <c r="J229">
        <v>6.01</v>
      </c>
      <c r="K229">
        <v>6545.39</v>
      </c>
      <c r="L229">
        <f t="shared" si="15"/>
        <v>2049.6588235294116</v>
      </c>
      <c r="M229" s="8">
        <f t="shared" si="16"/>
        <v>7.5031138611304046E-2</v>
      </c>
      <c r="N229" s="10">
        <f t="shared" si="17"/>
        <v>96850.548999999999</v>
      </c>
      <c r="O229" s="10">
        <f t="shared" si="18"/>
        <v>90305.159</v>
      </c>
      <c r="P229" s="9" t="str">
        <f t="shared" si="19"/>
        <v>OK</v>
      </c>
      <c r="Q229" s="9" t="str">
        <f>INDEX(Crops!$B$2:$B$7,MATCH(D229,Crops!$A$2:$A$7,0))</f>
        <v>Rice</v>
      </c>
      <c r="R229" s="9" t="str">
        <f>INDEX(Districts!$B$2:$B$6,MATCH(C229,Districts!$A$2:$A$6,0))</f>
        <v>Ejura</v>
      </c>
    </row>
    <row r="230" spans="1:18">
      <c r="A230" t="s">
        <v>72</v>
      </c>
      <c r="B230" s="4">
        <v>46069</v>
      </c>
      <c r="C230" t="s">
        <v>49</v>
      </c>
      <c r="D230" t="s">
        <v>31</v>
      </c>
      <c r="E230">
        <v>13.2</v>
      </c>
      <c r="F230">
        <v>17045.599999999999</v>
      </c>
      <c r="G230">
        <v>1886.9</v>
      </c>
      <c r="H230">
        <v>15158.7</v>
      </c>
      <c r="I230" t="s">
        <v>67</v>
      </c>
      <c r="J230">
        <v>3.56</v>
      </c>
      <c r="K230">
        <v>12215.31</v>
      </c>
      <c r="L230">
        <f t="shared" si="15"/>
        <v>1291.3333333333333</v>
      </c>
      <c r="M230" s="8">
        <f t="shared" si="16"/>
        <v>0.11069718871732297</v>
      </c>
      <c r="N230" s="10">
        <f t="shared" si="17"/>
        <v>53964.972000000002</v>
      </c>
      <c r="O230" s="10">
        <f t="shared" si="18"/>
        <v>41749.662000000004</v>
      </c>
      <c r="P230" s="9" t="str">
        <f t="shared" si="19"/>
        <v>OK</v>
      </c>
      <c r="Q230" s="9" t="str">
        <f>INDEX(Crops!$B$2:$B$7,MATCH(D230,Crops!$A$2:$A$7,0))</f>
        <v>Maize</v>
      </c>
      <c r="R230" s="9" t="str">
        <f>INDEX(Districts!$B$2:$B$6,MATCH(C230,Districts!$A$2:$A$6,0))</f>
        <v>Tamale Metro</v>
      </c>
    </row>
    <row r="231" spans="1:18">
      <c r="A231" t="s">
        <v>161</v>
      </c>
      <c r="B231" s="4">
        <v>45865</v>
      </c>
      <c r="C231" t="s">
        <v>51</v>
      </c>
      <c r="D231" t="s">
        <v>41</v>
      </c>
      <c r="E231">
        <v>13</v>
      </c>
      <c r="F231">
        <v>74797.399999999994</v>
      </c>
      <c r="G231">
        <v>6185.5</v>
      </c>
      <c r="H231">
        <v>68611.899999999994</v>
      </c>
      <c r="I231" t="s">
        <v>77</v>
      </c>
      <c r="J231">
        <v>2.61</v>
      </c>
      <c r="K231">
        <v>9877.5</v>
      </c>
      <c r="L231">
        <f t="shared" si="15"/>
        <v>5753.6461538461535</v>
      </c>
      <c r="M231" s="8">
        <f t="shared" si="16"/>
        <v>8.2696724752464659E-2</v>
      </c>
      <c r="N231" s="10">
        <f t="shared" si="17"/>
        <v>179077.05899999998</v>
      </c>
      <c r="O231" s="10">
        <f t="shared" si="18"/>
        <v>169199.55899999998</v>
      </c>
      <c r="P231" s="9" t="str">
        <f t="shared" si="19"/>
        <v>OK</v>
      </c>
      <c r="Q231" s="9" t="str">
        <f>INDEX(Crops!$B$2:$B$7,MATCH(D231,Crops!$A$2:$A$7,0))</f>
        <v>Cassava</v>
      </c>
      <c r="R231" s="9" t="str">
        <f>INDEX(Districts!$B$2:$B$6,MATCH(C231,Districts!$A$2:$A$6,0))</f>
        <v>Kintampo</v>
      </c>
    </row>
    <row r="232" spans="1:18">
      <c r="A232" t="s">
        <v>90</v>
      </c>
      <c r="B232" s="4">
        <v>46088</v>
      </c>
      <c r="C232" t="s">
        <v>47</v>
      </c>
      <c r="D232" t="s">
        <v>31</v>
      </c>
      <c r="E232">
        <v>14.3</v>
      </c>
      <c r="F232">
        <v>33232.199999999997</v>
      </c>
      <c r="G232">
        <v>3761</v>
      </c>
      <c r="H232">
        <v>29471.200000000001</v>
      </c>
      <c r="I232" t="s">
        <v>77</v>
      </c>
      <c r="J232">
        <v>3.64</v>
      </c>
      <c r="K232">
        <v>16186.2</v>
      </c>
      <c r="L232">
        <f t="shared" si="15"/>
        <v>2323.9300699300697</v>
      </c>
      <c r="M232" s="8">
        <f t="shared" si="16"/>
        <v>0.11317336799850748</v>
      </c>
      <c r="N232" s="10">
        <f t="shared" si="17"/>
        <v>107275.16800000001</v>
      </c>
      <c r="O232" s="10">
        <f t="shared" si="18"/>
        <v>91088.968000000008</v>
      </c>
      <c r="P232" s="9" t="str">
        <f t="shared" si="19"/>
        <v>OK</v>
      </c>
      <c r="Q232" s="9" t="str">
        <f>INDEX(Crops!$B$2:$B$7,MATCH(D232,Crops!$A$2:$A$7,0))</f>
        <v>Maize</v>
      </c>
      <c r="R232" s="9" t="str">
        <f>INDEX(Districts!$B$2:$B$6,MATCH(C232,Districts!$A$2:$A$6,0))</f>
        <v>Techiman</v>
      </c>
    </row>
    <row r="233" spans="1:18">
      <c r="A233" t="s">
        <v>159</v>
      </c>
      <c r="B233" s="4">
        <v>46074</v>
      </c>
      <c r="C233" t="s">
        <v>53</v>
      </c>
      <c r="D233" t="s">
        <v>41</v>
      </c>
      <c r="E233">
        <v>6.5</v>
      </c>
      <c r="F233">
        <v>41653.199999999997</v>
      </c>
      <c r="G233">
        <v>5950.2</v>
      </c>
      <c r="H233">
        <v>35703</v>
      </c>
      <c r="I233" t="s">
        <v>70</v>
      </c>
      <c r="J233">
        <v>2.72</v>
      </c>
      <c r="K233">
        <v>6667.76</v>
      </c>
      <c r="L233">
        <f t="shared" si="15"/>
        <v>6408.1846153846145</v>
      </c>
      <c r="M233" s="8">
        <f t="shared" si="16"/>
        <v>0.14285096943332085</v>
      </c>
      <c r="N233" s="10">
        <f t="shared" si="17"/>
        <v>97112.16</v>
      </c>
      <c r="O233" s="10">
        <f t="shared" si="18"/>
        <v>90444.400000000009</v>
      </c>
      <c r="P233" s="9" t="str">
        <f t="shared" si="19"/>
        <v>OK</v>
      </c>
      <c r="Q233" s="9" t="str">
        <f>INDEX(Crops!$B$2:$B$7,MATCH(D233,Crops!$A$2:$A$7,0))</f>
        <v>Cassava</v>
      </c>
      <c r="R233" s="9" t="str">
        <f>INDEX(Districts!$B$2:$B$6,MATCH(C233,Districts!$A$2:$A$6,0))</f>
        <v>Hohoe</v>
      </c>
    </row>
    <row r="234" spans="1:18">
      <c r="A234" t="s">
        <v>74</v>
      </c>
      <c r="B234" s="4">
        <v>45967</v>
      </c>
      <c r="C234" t="s">
        <v>53</v>
      </c>
      <c r="D234" t="s">
        <v>39</v>
      </c>
      <c r="E234">
        <v>9.6</v>
      </c>
      <c r="F234">
        <v>13948.6</v>
      </c>
      <c r="G234">
        <v>279</v>
      </c>
      <c r="H234">
        <v>13669.6</v>
      </c>
      <c r="I234" t="s">
        <v>67</v>
      </c>
      <c r="J234">
        <v>4.1500000000000004</v>
      </c>
      <c r="K234">
        <v>7906.71</v>
      </c>
      <c r="L234">
        <f t="shared" si="15"/>
        <v>1452.9791666666667</v>
      </c>
      <c r="M234" s="8">
        <f t="shared" si="16"/>
        <v>2.000200736991526E-2</v>
      </c>
      <c r="N234" s="10">
        <f t="shared" si="17"/>
        <v>56728.840000000004</v>
      </c>
      <c r="O234" s="10">
        <f t="shared" si="18"/>
        <v>48822.130000000005</v>
      </c>
      <c r="P234" s="9" t="str">
        <f t="shared" si="19"/>
        <v>OK</v>
      </c>
      <c r="Q234" s="9" t="str">
        <f>INDEX(Crops!$B$2:$B$7,MATCH(D234,Crops!$A$2:$A$7,0))</f>
        <v>Soybean</v>
      </c>
      <c r="R234" s="9" t="str">
        <f>INDEX(Districts!$B$2:$B$6,MATCH(C234,Districts!$A$2:$A$6,0))</f>
        <v>Hohoe</v>
      </c>
    </row>
    <row r="235" spans="1:18">
      <c r="A235" t="s">
        <v>210</v>
      </c>
      <c r="B235" s="4">
        <v>46032</v>
      </c>
      <c r="C235" t="s">
        <v>47</v>
      </c>
      <c r="D235" t="s">
        <v>37</v>
      </c>
      <c r="E235">
        <v>14.1</v>
      </c>
      <c r="F235">
        <v>74796.600000000006</v>
      </c>
      <c r="G235">
        <v>10325.4</v>
      </c>
      <c r="H235">
        <v>64471.199999999997</v>
      </c>
      <c r="I235" t="s">
        <v>70</v>
      </c>
      <c r="J235">
        <v>10.23</v>
      </c>
      <c r="K235">
        <v>16731.810000000001</v>
      </c>
      <c r="L235">
        <f t="shared" si="15"/>
        <v>5304.72340425532</v>
      </c>
      <c r="M235" s="8">
        <f t="shared" si="16"/>
        <v>0.13804638178740744</v>
      </c>
      <c r="N235" s="10">
        <f t="shared" si="17"/>
        <v>659540.37600000005</v>
      </c>
      <c r="O235" s="10">
        <f t="shared" si="18"/>
        <v>642808.56599999999</v>
      </c>
      <c r="P235" s="9" t="str">
        <f t="shared" si="19"/>
        <v>OK</v>
      </c>
      <c r="Q235" s="9" t="str">
        <f>INDEX(Crops!$B$2:$B$7,MATCH(D235,Crops!$A$2:$A$7,0))</f>
        <v>Pepper</v>
      </c>
      <c r="R235" s="9" t="str">
        <f>INDEX(Districts!$B$2:$B$6,MATCH(C235,Districts!$A$2:$A$6,0))</f>
        <v>Techiman</v>
      </c>
    </row>
    <row r="236" spans="1:18">
      <c r="A236" t="s">
        <v>140</v>
      </c>
      <c r="B236" s="4">
        <v>46115</v>
      </c>
      <c r="C236" t="s">
        <v>45</v>
      </c>
      <c r="D236" t="s">
        <v>37</v>
      </c>
      <c r="E236">
        <v>14.1</v>
      </c>
      <c r="F236">
        <v>50531.6</v>
      </c>
      <c r="G236">
        <v>3294.8</v>
      </c>
      <c r="H236">
        <v>47236.800000000003</v>
      </c>
      <c r="I236" t="s">
        <v>77</v>
      </c>
      <c r="J236">
        <v>8.44</v>
      </c>
      <c r="K236">
        <v>19824.54</v>
      </c>
      <c r="L236">
        <f t="shared" si="15"/>
        <v>3583.8014184397161</v>
      </c>
      <c r="M236" s="8">
        <f t="shared" si="16"/>
        <v>6.5202764210909619E-2</v>
      </c>
      <c r="N236" s="10">
        <f t="shared" si="17"/>
        <v>398678.592</v>
      </c>
      <c r="O236" s="10">
        <f t="shared" si="18"/>
        <v>378854.05200000003</v>
      </c>
      <c r="P236" s="9" t="str">
        <f t="shared" si="19"/>
        <v>OK</v>
      </c>
      <c r="Q236" s="9" t="str">
        <f>INDEX(Crops!$B$2:$B$7,MATCH(D236,Crops!$A$2:$A$7,0))</f>
        <v>Pepper</v>
      </c>
      <c r="R236" s="9" t="str">
        <f>INDEX(Districts!$B$2:$B$6,MATCH(C236,Districts!$A$2:$A$6,0))</f>
        <v>Ejura</v>
      </c>
    </row>
    <row r="237" spans="1:18">
      <c r="A237" t="s">
        <v>211</v>
      </c>
      <c r="B237" s="4">
        <v>46141</v>
      </c>
      <c r="C237" t="s">
        <v>45</v>
      </c>
      <c r="D237" t="s">
        <v>37</v>
      </c>
      <c r="E237">
        <v>5.6</v>
      </c>
      <c r="F237">
        <v>27440.799999999999</v>
      </c>
      <c r="G237">
        <v>1919.9</v>
      </c>
      <c r="H237">
        <v>25520.9</v>
      </c>
      <c r="I237" t="s">
        <v>65</v>
      </c>
      <c r="J237">
        <v>7.98</v>
      </c>
      <c r="K237">
        <v>9679.98</v>
      </c>
      <c r="L237">
        <f t="shared" si="15"/>
        <v>4900.1428571428569</v>
      </c>
      <c r="M237" s="8">
        <f t="shared" si="16"/>
        <v>6.996516136555786E-2</v>
      </c>
      <c r="N237" s="10">
        <f t="shared" si="17"/>
        <v>203656.78200000004</v>
      </c>
      <c r="O237" s="10">
        <f t="shared" si="18"/>
        <v>193976.80200000003</v>
      </c>
      <c r="P237" s="9" t="str">
        <f t="shared" si="19"/>
        <v>OK</v>
      </c>
      <c r="Q237" s="9" t="str">
        <f>INDEX(Crops!$B$2:$B$7,MATCH(D237,Crops!$A$2:$A$7,0))</f>
        <v>Pepper</v>
      </c>
      <c r="R237" s="9" t="str">
        <f>INDEX(Districts!$B$2:$B$6,MATCH(C237,Districts!$A$2:$A$6,0))</f>
        <v>Ejura</v>
      </c>
    </row>
    <row r="238" spans="1:18">
      <c r="A238" t="s">
        <v>212</v>
      </c>
      <c r="B238" s="4">
        <v>45994</v>
      </c>
      <c r="C238" t="s">
        <v>53</v>
      </c>
      <c r="D238" t="s">
        <v>37</v>
      </c>
      <c r="E238">
        <v>3.2</v>
      </c>
      <c r="F238">
        <v>20272.7</v>
      </c>
      <c r="G238">
        <v>456.5</v>
      </c>
      <c r="H238">
        <v>19816.2</v>
      </c>
      <c r="I238" t="s">
        <v>67</v>
      </c>
      <c r="J238">
        <v>8.41</v>
      </c>
      <c r="K238">
        <v>3209.57</v>
      </c>
      <c r="L238">
        <f t="shared" si="15"/>
        <v>6335.21875</v>
      </c>
      <c r="M238" s="8">
        <f t="shared" si="16"/>
        <v>2.2517967512960778E-2</v>
      </c>
      <c r="N238" s="10">
        <f t="shared" si="17"/>
        <v>166654.242</v>
      </c>
      <c r="O238" s="10">
        <f t="shared" si="18"/>
        <v>163444.67199999999</v>
      </c>
      <c r="P238" s="9" t="str">
        <f t="shared" si="19"/>
        <v>OK</v>
      </c>
      <c r="Q238" s="9" t="str">
        <f>INDEX(Crops!$B$2:$B$7,MATCH(D238,Crops!$A$2:$A$7,0))</f>
        <v>Pepper</v>
      </c>
      <c r="R238" s="9" t="str">
        <f>INDEX(Districts!$B$2:$B$6,MATCH(C238,Districts!$A$2:$A$6,0))</f>
        <v>Hohoe</v>
      </c>
    </row>
    <row r="239" spans="1:18">
      <c r="A239" t="s">
        <v>83</v>
      </c>
      <c r="B239" s="4">
        <v>46003</v>
      </c>
      <c r="C239" t="s">
        <v>47</v>
      </c>
      <c r="D239" t="s">
        <v>35</v>
      </c>
      <c r="E239">
        <v>9.1999999999999993</v>
      </c>
      <c r="F239">
        <v>88979.8</v>
      </c>
      <c r="G239">
        <v>9037</v>
      </c>
      <c r="H239">
        <v>79942.8</v>
      </c>
      <c r="I239" t="s">
        <v>67</v>
      </c>
      <c r="J239">
        <v>6.56</v>
      </c>
      <c r="K239">
        <v>10371.91</v>
      </c>
      <c r="L239">
        <f t="shared" si="15"/>
        <v>9671.717391304348</v>
      </c>
      <c r="M239" s="8">
        <f t="shared" si="16"/>
        <v>0.10156237707884261</v>
      </c>
      <c r="N239" s="10">
        <f t="shared" si="17"/>
        <v>524424.76800000004</v>
      </c>
      <c r="O239" s="10">
        <f t="shared" si="18"/>
        <v>514052.85800000007</v>
      </c>
      <c r="P239" s="9" t="str">
        <f t="shared" si="19"/>
        <v>OK</v>
      </c>
      <c r="Q239" s="9" t="str">
        <f>INDEX(Crops!$B$2:$B$7,MATCH(D239,Crops!$A$2:$A$7,0))</f>
        <v>Tomato</v>
      </c>
      <c r="R239" s="9" t="str">
        <f>INDEX(Districts!$B$2:$B$6,MATCH(C239,Districts!$A$2:$A$6,0))</f>
        <v>Techiman</v>
      </c>
    </row>
    <row r="240" spans="1:18">
      <c r="A240" t="s">
        <v>213</v>
      </c>
      <c r="B240" s="4">
        <v>46060</v>
      </c>
      <c r="C240" t="s">
        <v>47</v>
      </c>
      <c r="D240" t="s">
        <v>33</v>
      </c>
      <c r="E240">
        <v>3.9</v>
      </c>
      <c r="F240">
        <v>10155</v>
      </c>
      <c r="G240">
        <v>1249.2</v>
      </c>
      <c r="H240">
        <v>8905.7999999999993</v>
      </c>
      <c r="I240" t="s">
        <v>70</v>
      </c>
      <c r="J240">
        <v>6.47</v>
      </c>
      <c r="K240">
        <v>5959.01</v>
      </c>
      <c r="L240">
        <f t="shared" si="15"/>
        <v>2603.8461538461538</v>
      </c>
      <c r="M240" s="8">
        <f t="shared" si="16"/>
        <v>0.12301329394387002</v>
      </c>
      <c r="N240" s="10">
        <f t="shared" si="17"/>
        <v>57620.525999999991</v>
      </c>
      <c r="O240" s="10">
        <f t="shared" si="18"/>
        <v>51661.515999999989</v>
      </c>
      <c r="P240" s="9" t="str">
        <f t="shared" si="19"/>
        <v>OK</v>
      </c>
      <c r="Q240" s="9" t="str">
        <f>INDEX(Crops!$B$2:$B$7,MATCH(D240,Crops!$A$2:$A$7,0))</f>
        <v>Rice</v>
      </c>
      <c r="R240" s="9" t="str">
        <f>INDEX(Districts!$B$2:$B$6,MATCH(C240,Districts!$A$2:$A$6,0))</f>
        <v>Techiman</v>
      </c>
    </row>
    <row r="241" spans="1:18">
      <c r="A241" t="s">
        <v>186</v>
      </c>
      <c r="B241" s="4">
        <v>46134</v>
      </c>
      <c r="C241" t="s">
        <v>45</v>
      </c>
      <c r="D241" t="s">
        <v>33</v>
      </c>
      <c r="E241">
        <v>12.8</v>
      </c>
      <c r="F241">
        <v>22156.6</v>
      </c>
      <c r="G241">
        <v>1404.3</v>
      </c>
      <c r="H241">
        <v>20752.3</v>
      </c>
      <c r="I241" t="s">
        <v>70</v>
      </c>
      <c r="J241">
        <v>4.9400000000000004</v>
      </c>
      <c r="K241">
        <v>9630.34</v>
      </c>
      <c r="L241">
        <f t="shared" si="15"/>
        <v>1730.9843749999998</v>
      </c>
      <c r="M241" s="8">
        <f t="shared" si="16"/>
        <v>6.3380663098128773E-2</v>
      </c>
      <c r="N241" s="10">
        <f t="shared" si="17"/>
        <v>102516.36200000001</v>
      </c>
      <c r="O241" s="10">
        <f t="shared" si="18"/>
        <v>92886.022000000012</v>
      </c>
      <c r="P241" s="9" t="str">
        <f t="shared" si="19"/>
        <v>OK</v>
      </c>
      <c r="Q241" s="9" t="str">
        <f>INDEX(Crops!$B$2:$B$7,MATCH(D241,Crops!$A$2:$A$7,0))</f>
        <v>Rice</v>
      </c>
      <c r="R241" s="9" t="str">
        <f>INDEX(Districts!$B$2:$B$6,MATCH(C241,Districts!$A$2:$A$6,0))</f>
        <v>Ejura</v>
      </c>
    </row>
    <row r="242" spans="1:18">
      <c r="A242" t="s">
        <v>72</v>
      </c>
      <c r="B242" s="4">
        <v>46085</v>
      </c>
      <c r="C242" t="s">
        <v>49</v>
      </c>
      <c r="D242" t="s">
        <v>35</v>
      </c>
      <c r="E242">
        <v>10.9</v>
      </c>
      <c r="F242">
        <v>76626.399999999994</v>
      </c>
      <c r="G242">
        <v>12244.6</v>
      </c>
      <c r="H242">
        <v>64381.8</v>
      </c>
      <c r="I242" t="s">
        <v>67</v>
      </c>
      <c r="J242">
        <v>5.91</v>
      </c>
      <c r="K242">
        <v>16185.13</v>
      </c>
      <c r="L242">
        <f t="shared" si="15"/>
        <v>7029.9449541284393</v>
      </c>
      <c r="M242" s="8">
        <f t="shared" si="16"/>
        <v>0.15979610160466889</v>
      </c>
      <c r="N242" s="10">
        <f t="shared" si="17"/>
        <v>380496.43800000002</v>
      </c>
      <c r="O242" s="10">
        <f t="shared" si="18"/>
        <v>364311.30800000002</v>
      </c>
      <c r="P242" s="9" t="str">
        <f t="shared" si="19"/>
        <v>OK</v>
      </c>
      <c r="Q242" s="9" t="str">
        <f>INDEX(Crops!$B$2:$B$7,MATCH(D242,Crops!$A$2:$A$7,0))</f>
        <v>Tomato</v>
      </c>
      <c r="R242" s="9" t="str">
        <f>INDEX(Districts!$B$2:$B$6,MATCH(C242,Districts!$A$2:$A$6,0))</f>
        <v>Tamale Metro</v>
      </c>
    </row>
    <row r="243" spans="1:18">
      <c r="A243" t="s">
        <v>145</v>
      </c>
      <c r="B243" s="4">
        <v>46034</v>
      </c>
      <c r="C243" t="s">
        <v>51</v>
      </c>
      <c r="D243" t="s">
        <v>37</v>
      </c>
      <c r="E243">
        <v>10.9</v>
      </c>
      <c r="F243">
        <v>35377.9</v>
      </c>
      <c r="G243">
        <v>2049.9</v>
      </c>
      <c r="H243">
        <v>33328</v>
      </c>
      <c r="I243" t="s">
        <v>70</v>
      </c>
      <c r="J243">
        <v>7.9</v>
      </c>
      <c r="K243">
        <v>17417.150000000001</v>
      </c>
      <c r="L243">
        <f t="shared" si="15"/>
        <v>3245.6788990825689</v>
      </c>
      <c r="M243" s="8">
        <f t="shared" si="16"/>
        <v>5.7942953086531419E-2</v>
      </c>
      <c r="N243" s="10">
        <f t="shared" si="17"/>
        <v>263291.2</v>
      </c>
      <c r="O243" s="10">
        <f t="shared" si="18"/>
        <v>245874.05000000002</v>
      </c>
      <c r="P243" s="9" t="str">
        <f t="shared" si="19"/>
        <v>OK</v>
      </c>
      <c r="Q243" s="9" t="str">
        <f>INDEX(Crops!$B$2:$B$7,MATCH(D243,Crops!$A$2:$A$7,0))</f>
        <v>Pepper</v>
      </c>
      <c r="R243" s="9" t="str">
        <f>INDEX(Districts!$B$2:$B$6,MATCH(C243,Districts!$A$2:$A$6,0))</f>
        <v>Kintampo</v>
      </c>
    </row>
    <row r="244" spans="1:18">
      <c r="A244" t="s">
        <v>90</v>
      </c>
      <c r="B244" s="4">
        <v>46143</v>
      </c>
      <c r="C244" t="s">
        <v>45</v>
      </c>
      <c r="D244" t="s">
        <v>31</v>
      </c>
      <c r="E244">
        <v>13.8</v>
      </c>
      <c r="F244">
        <v>31728.9</v>
      </c>
      <c r="G244">
        <v>1354.9</v>
      </c>
      <c r="H244">
        <v>30374</v>
      </c>
      <c r="I244" t="s">
        <v>67</v>
      </c>
      <c r="J244">
        <v>3.37</v>
      </c>
      <c r="K244">
        <v>17145.740000000002</v>
      </c>
      <c r="L244">
        <f t="shared" si="15"/>
        <v>2299.195652173913</v>
      </c>
      <c r="M244" s="8">
        <f t="shared" si="16"/>
        <v>4.2702394347109415E-2</v>
      </c>
      <c r="N244" s="10">
        <f t="shared" si="17"/>
        <v>102360.38</v>
      </c>
      <c r="O244" s="10">
        <f t="shared" si="18"/>
        <v>85214.64</v>
      </c>
      <c r="P244" s="9" t="str">
        <f t="shared" si="19"/>
        <v>OK</v>
      </c>
      <c r="Q244" s="9" t="str">
        <f>INDEX(Crops!$B$2:$B$7,MATCH(D244,Crops!$A$2:$A$7,0))</f>
        <v>Maize</v>
      </c>
      <c r="R244" s="9" t="str">
        <f>INDEX(Districts!$B$2:$B$6,MATCH(C244,Districts!$A$2:$A$6,0))</f>
        <v>Ejura</v>
      </c>
    </row>
    <row r="245" spans="1:18">
      <c r="A245" t="s">
        <v>130</v>
      </c>
      <c r="B245" s="4">
        <v>46180</v>
      </c>
      <c r="C245" t="s">
        <v>47</v>
      </c>
      <c r="D245" t="s">
        <v>31</v>
      </c>
      <c r="E245">
        <v>11.9</v>
      </c>
      <c r="F245">
        <v>27606.5</v>
      </c>
      <c r="G245">
        <v>3271.7</v>
      </c>
      <c r="H245">
        <v>24334.799999999999</v>
      </c>
      <c r="I245" t="s">
        <v>77</v>
      </c>
      <c r="J245">
        <v>3.15</v>
      </c>
      <c r="K245">
        <v>13471.48</v>
      </c>
      <c r="L245">
        <f t="shared" si="15"/>
        <v>2319.8739495798318</v>
      </c>
      <c r="M245" s="8">
        <f t="shared" si="16"/>
        <v>0.11851194465071631</v>
      </c>
      <c r="N245" s="10">
        <f t="shared" si="17"/>
        <v>76654.62</v>
      </c>
      <c r="O245" s="10">
        <f t="shared" si="18"/>
        <v>63183.14</v>
      </c>
      <c r="P245" s="9" t="str">
        <f t="shared" si="19"/>
        <v>OK</v>
      </c>
      <c r="Q245" s="9" t="str">
        <f>INDEX(Crops!$B$2:$B$7,MATCH(D245,Crops!$A$2:$A$7,0))</f>
        <v>Maize</v>
      </c>
      <c r="R245" s="9" t="str">
        <f>INDEX(Districts!$B$2:$B$6,MATCH(C245,Districts!$A$2:$A$6,0))</f>
        <v>Techiman</v>
      </c>
    </row>
    <row r="246" spans="1:18">
      <c r="A246" t="s">
        <v>184</v>
      </c>
      <c r="B246" s="4">
        <v>45883</v>
      </c>
      <c r="C246" t="s">
        <v>49</v>
      </c>
      <c r="D246" t="s">
        <v>35</v>
      </c>
      <c r="E246">
        <v>7.6</v>
      </c>
      <c r="F246">
        <v>40733.699999999997</v>
      </c>
      <c r="G246">
        <v>2377.3000000000002</v>
      </c>
      <c r="H246">
        <v>38356.400000000001</v>
      </c>
      <c r="I246" t="s">
        <v>70</v>
      </c>
      <c r="J246">
        <v>7.18</v>
      </c>
      <c r="K246">
        <v>6309.44</v>
      </c>
      <c r="L246">
        <f t="shared" si="15"/>
        <v>5359.6973684210525</v>
      </c>
      <c r="M246" s="8">
        <f t="shared" si="16"/>
        <v>5.8361995104790391E-2</v>
      </c>
      <c r="N246" s="10">
        <f t="shared" si="17"/>
        <v>275398.95199999999</v>
      </c>
      <c r="O246" s="10">
        <f t="shared" si="18"/>
        <v>269089.51199999999</v>
      </c>
      <c r="P246" s="9" t="str">
        <f t="shared" si="19"/>
        <v>OK</v>
      </c>
      <c r="Q246" s="9" t="str">
        <f>INDEX(Crops!$B$2:$B$7,MATCH(D246,Crops!$A$2:$A$7,0))</f>
        <v>Tomato</v>
      </c>
      <c r="R246" s="9" t="str">
        <f>INDEX(Districts!$B$2:$B$6,MATCH(C246,Districts!$A$2:$A$6,0))</f>
        <v>Tamale Metro</v>
      </c>
    </row>
    <row r="247" spans="1:18">
      <c r="A247" t="s">
        <v>91</v>
      </c>
      <c r="B247" s="4">
        <v>45842</v>
      </c>
      <c r="C247" t="s">
        <v>51</v>
      </c>
      <c r="D247" t="s">
        <v>33</v>
      </c>
      <c r="E247">
        <v>12.8</v>
      </c>
      <c r="F247">
        <v>32939.300000000003</v>
      </c>
      <c r="G247">
        <v>4094.4</v>
      </c>
      <c r="H247">
        <v>28844.9</v>
      </c>
      <c r="I247" t="s">
        <v>77</v>
      </c>
      <c r="J247">
        <v>5.88</v>
      </c>
      <c r="K247">
        <v>19182.2</v>
      </c>
      <c r="L247">
        <f t="shared" si="15"/>
        <v>2573.3828125</v>
      </c>
      <c r="M247" s="8">
        <f t="shared" si="16"/>
        <v>0.124301366452839</v>
      </c>
      <c r="N247" s="10">
        <f t="shared" si="17"/>
        <v>169608.01200000002</v>
      </c>
      <c r="O247" s="10">
        <f t="shared" si="18"/>
        <v>150425.81200000001</v>
      </c>
      <c r="P247" s="9" t="str">
        <f t="shared" si="19"/>
        <v>OK</v>
      </c>
      <c r="Q247" s="9" t="str">
        <f>INDEX(Crops!$B$2:$B$7,MATCH(D247,Crops!$A$2:$A$7,0))</f>
        <v>Rice</v>
      </c>
      <c r="R247" s="9" t="str">
        <f>INDEX(Districts!$B$2:$B$6,MATCH(C247,Districts!$A$2:$A$6,0))</f>
        <v>Kintampo</v>
      </c>
    </row>
    <row r="248" spans="1:18">
      <c r="A248" t="s">
        <v>214</v>
      </c>
      <c r="B248" s="4">
        <v>46020</v>
      </c>
      <c r="C248" t="s">
        <v>45</v>
      </c>
      <c r="D248" t="s">
        <v>31</v>
      </c>
      <c r="E248">
        <v>8.6999999999999993</v>
      </c>
      <c r="F248">
        <v>15280.1</v>
      </c>
      <c r="G248">
        <v>1535.9</v>
      </c>
      <c r="H248">
        <v>13744.2</v>
      </c>
      <c r="I248" t="s">
        <v>65</v>
      </c>
      <c r="J248">
        <v>3.32</v>
      </c>
      <c r="K248">
        <v>11269.81</v>
      </c>
      <c r="L248">
        <f t="shared" si="15"/>
        <v>1756.3333333333335</v>
      </c>
      <c r="M248" s="8">
        <f t="shared" si="16"/>
        <v>0.10051635787723903</v>
      </c>
      <c r="N248" s="10">
        <f t="shared" si="17"/>
        <v>45630.743999999999</v>
      </c>
      <c r="O248" s="10">
        <f t="shared" si="18"/>
        <v>34360.934000000001</v>
      </c>
      <c r="P248" s="9" t="str">
        <f t="shared" si="19"/>
        <v>OK</v>
      </c>
      <c r="Q248" s="9" t="str">
        <f>INDEX(Crops!$B$2:$B$7,MATCH(D248,Crops!$A$2:$A$7,0))</f>
        <v>Maize</v>
      </c>
      <c r="R248" s="9" t="str">
        <f>INDEX(Districts!$B$2:$B$6,MATCH(C248,Districts!$A$2:$A$6,0))</f>
        <v>Ejura</v>
      </c>
    </row>
    <row r="249" spans="1:18">
      <c r="A249" t="s">
        <v>130</v>
      </c>
      <c r="B249" s="4">
        <v>45901</v>
      </c>
      <c r="C249" t="s">
        <v>53</v>
      </c>
      <c r="D249" t="s">
        <v>33</v>
      </c>
      <c r="E249">
        <v>4.7</v>
      </c>
      <c r="F249">
        <v>9376.2999999999993</v>
      </c>
      <c r="G249">
        <v>1409.6</v>
      </c>
      <c r="H249">
        <v>7966.7</v>
      </c>
      <c r="I249" t="s">
        <v>67</v>
      </c>
      <c r="J249">
        <v>5.25</v>
      </c>
      <c r="K249">
        <v>4861</v>
      </c>
      <c r="L249">
        <f t="shared" si="15"/>
        <v>1994.9574468085104</v>
      </c>
      <c r="M249" s="8">
        <f t="shared" si="16"/>
        <v>0.15033648667384789</v>
      </c>
      <c r="N249" s="10">
        <f t="shared" si="17"/>
        <v>41825.174999999996</v>
      </c>
      <c r="O249" s="10">
        <f t="shared" si="18"/>
        <v>36964.174999999996</v>
      </c>
      <c r="P249" s="9" t="str">
        <f t="shared" si="19"/>
        <v>OK</v>
      </c>
      <c r="Q249" s="9" t="str">
        <f>INDEX(Crops!$B$2:$B$7,MATCH(D249,Crops!$A$2:$A$7,0))</f>
        <v>Rice</v>
      </c>
      <c r="R249" s="9" t="str">
        <f>INDEX(Districts!$B$2:$B$6,MATCH(C249,Districts!$A$2:$A$6,0))</f>
        <v>Hohoe</v>
      </c>
    </row>
    <row r="250" spans="1:18">
      <c r="A250" t="s">
        <v>215</v>
      </c>
      <c r="B250" s="4">
        <v>45869</v>
      </c>
      <c r="C250" t="s">
        <v>45</v>
      </c>
      <c r="D250" t="s">
        <v>39</v>
      </c>
      <c r="E250">
        <v>6.4</v>
      </c>
      <c r="F250">
        <v>11518.4</v>
      </c>
      <c r="G250">
        <v>246</v>
      </c>
      <c r="H250">
        <v>11272.4</v>
      </c>
      <c r="I250" t="s">
        <v>77</v>
      </c>
      <c r="J250">
        <v>4.03</v>
      </c>
      <c r="K250">
        <v>6398</v>
      </c>
      <c r="L250">
        <f t="shared" si="15"/>
        <v>1799.7499999999998</v>
      </c>
      <c r="M250" s="8">
        <f t="shared" si="16"/>
        <v>2.1357132935129881E-2</v>
      </c>
      <c r="N250" s="10">
        <f t="shared" si="17"/>
        <v>45427.772000000004</v>
      </c>
      <c r="O250" s="10">
        <f t="shared" si="18"/>
        <v>39029.772000000004</v>
      </c>
      <c r="P250" s="9" t="str">
        <f t="shared" si="19"/>
        <v>OK</v>
      </c>
      <c r="Q250" s="9" t="str">
        <f>INDEX(Crops!$B$2:$B$7,MATCH(D250,Crops!$A$2:$A$7,0))</f>
        <v>Soybean</v>
      </c>
      <c r="R250" s="9" t="str">
        <f>INDEX(Districts!$B$2:$B$6,MATCH(C250,Districts!$A$2:$A$6,0))</f>
        <v>Ejura</v>
      </c>
    </row>
    <row r="251" spans="1:18">
      <c r="A251" t="s">
        <v>153</v>
      </c>
      <c r="B251" s="4">
        <v>46187</v>
      </c>
      <c r="C251" t="s">
        <v>53</v>
      </c>
      <c r="D251" t="s">
        <v>41</v>
      </c>
      <c r="E251">
        <v>12.6</v>
      </c>
      <c r="F251">
        <v>100047.9</v>
      </c>
      <c r="G251">
        <v>8136.3</v>
      </c>
      <c r="H251">
        <v>91911.6</v>
      </c>
      <c r="I251" t="s">
        <v>65</v>
      </c>
      <c r="J251">
        <v>2.4300000000000002</v>
      </c>
      <c r="K251">
        <v>19189.03</v>
      </c>
      <c r="L251">
        <f t="shared" si="15"/>
        <v>7940.3095238095239</v>
      </c>
      <c r="M251" s="8">
        <f t="shared" si="16"/>
        <v>8.1324045782070392E-2</v>
      </c>
      <c r="N251" s="10">
        <f t="shared" si="17"/>
        <v>223345.18800000002</v>
      </c>
      <c r="O251" s="10">
        <f t="shared" si="18"/>
        <v>204156.15800000002</v>
      </c>
      <c r="P251" s="9" t="str">
        <f t="shared" si="19"/>
        <v>OK</v>
      </c>
      <c r="Q251" s="9" t="str">
        <f>INDEX(Crops!$B$2:$B$7,MATCH(D251,Crops!$A$2:$A$7,0))</f>
        <v>Cassava</v>
      </c>
      <c r="R251" s="9" t="str">
        <f>INDEX(Districts!$B$2:$B$6,MATCH(C251,Districts!$A$2:$A$6,0))</f>
        <v>Hohoe</v>
      </c>
    </row>
    <row r="252" spans="1:18">
      <c r="A252" t="s">
        <v>216</v>
      </c>
      <c r="B252" s="4">
        <v>45976</v>
      </c>
      <c r="C252" t="s">
        <v>49</v>
      </c>
      <c r="D252" t="s">
        <v>41</v>
      </c>
      <c r="E252">
        <v>4.0999999999999996</v>
      </c>
      <c r="F252">
        <v>19305.7</v>
      </c>
      <c r="G252">
        <v>1453.3</v>
      </c>
      <c r="H252">
        <v>17852.400000000001</v>
      </c>
      <c r="I252" t="s">
        <v>65</v>
      </c>
      <c r="J252">
        <v>2.17</v>
      </c>
      <c r="K252">
        <v>5057.9399999999996</v>
      </c>
      <c r="L252">
        <f t="shared" si="15"/>
        <v>4708.707317073171</v>
      </c>
      <c r="M252" s="8">
        <f t="shared" si="16"/>
        <v>7.5278285687646648E-2</v>
      </c>
      <c r="N252" s="10">
        <f t="shared" si="17"/>
        <v>38739.707999999999</v>
      </c>
      <c r="O252" s="10">
        <f t="shared" si="18"/>
        <v>33681.767999999996</v>
      </c>
      <c r="P252" s="9" t="str">
        <f t="shared" si="19"/>
        <v>OK</v>
      </c>
      <c r="Q252" s="9" t="str">
        <f>INDEX(Crops!$B$2:$B$7,MATCH(D252,Crops!$A$2:$A$7,0))</f>
        <v>Cassava</v>
      </c>
      <c r="R252" s="9" t="str">
        <f>INDEX(Districts!$B$2:$B$6,MATCH(C252,Districts!$A$2:$A$6,0))</f>
        <v>Tamale Metro</v>
      </c>
    </row>
    <row r="253" spans="1:18">
      <c r="A253" t="s">
        <v>212</v>
      </c>
      <c r="B253" s="4">
        <v>46038</v>
      </c>
      <c r="C253" t="s">
        <v>53</v>
      </c>
      <c r="D253" t="s">
        <v>41</v>
      </c>
      <c r="E253">
        <v>13.4</v>
      </c>
      <c r="F253">
        <v>90113.2</v>
      </c>
      <c r="G253">
        <v>4212.1000000000004</v>
      </c>
      <c r="H253">
        <v>85901.1</v>
      </c>
      <c r="I253" t="s">
        <v>70</v>
      </c>
      <c r="J253">
        <v>2.78</v>
      </c>
      <c r="K253">
        <v>11807.1</v>
      </c>
      <c r="L253">
        <f t="shared" si="15"/>
        <v>6724.8656716417909</v>
      </c>
      <c r="M253" s="8">
        <f t="shared" si="16"/>
        <v>4.6742319660160778E-2</v>
      </c>
      <c r="N253" s="10">
        <f t="shared" si="17"/>
        <v>238805.05799999999</v>
      </c>
      <c r="O253" s="10">
        <f t="shared" si="18"/>
        <v>226997.95799999998</v>
      </c>
      <c r="P253" s="9" t="str">
        <f t="shared" si="19"/>
        <v>OK</v>
      </c>
      <c r="Q253" s="9" t="str">
        <f>INDEX(Crops!$B$2:$B$7,MATCH(D253,Crops!$A$2:$A$7,0))</f>
        <v>Cassava</v>
      </c>
      <c r="R253" s="9" t="str">
        <f>INDEX(Districts!$B$2:$B$6,MATCH(C253,Districts!$A$2:$A$6,0))</f>
        <v>Hohoe</v>
      </c>
    </row>
    <row r="254" spans="1:18">
      <c r="A254" t="s">
        <v>140</v>
      </c>
      <c r="B254" s="4">
        <v>46135</v>
      </c>
      <c r="C254" t="s">
        <v>49</v>
      </c>
      <c r="D254" t="s">
        <v>33</v>
      </c>
      <c r="E254">
        <v>9.9</v>
      </c>
      <c r="F254">
        <v>16746.2</v>
      </c>
      <c r="G254">
        <v>2635.9</v>
      </c>
      <c r="H254">
        <v>14110.3</v>
      </c>
      <c r="I254" t="s">
        <v>77</v>
      </c>
      <c r="J254">
        <v>6.34</v>
      </c>
      <c r="K254">
        <v>10109.200000000001</v>
      </c>
      <c r="L254">
        <f t="shared" si="15"/>
        <v>1691.5353535353536</v>
      </c>
      <c r="M254" s="8">
        <f t="shared" si="16"/>
        <v>0.15740287348771662</v>
      </c>
      <c r="N254" s="10">
        <f t="shared" si="17"/>
        <v>89459.301999999996</v>
      </c>
      <c r="O254" s="10">
        <f t="shared" si="18"/>
        <v>79350.101999999999</v>
      </c>
      <c r="P254" s="9" t="str">
        <f t="shared" si="19"/>
        <v>OK</v>
      </c>
      <c r="Q254" s="9" t="str">
        <f>INDEX(Crops!$B$2:$B$7,MATCH(D254,Crops!$A$2:$A$7,0))</f>
        <v>Rice</v>
      </c>
      <c r="R254" s="9" t="str">
        <f>INDEX(Districts!$B$2:$B$6,MATCH(C254,Districts!$A$2:$A$6,0))</f>
        <v>Tamale Metro</v>
      </c>
    </row>
    <row r="255" spans="1:18">
      <c r="A255" t="s">
        <v>66</v>
      </c>
      <c r="B255" s="4">
        <v>46045</v>
      </c>
      <c r="C255" t="s">
        <v>47</v>
      </c>
      <c r="D255" t="s">
        <v>37</v>
      </c>
      <c r="E255">
        <v>7.5</v>
      </c>
      <c r="F255">
        <v>36969.800000000003</v>
      </c>
      <c r="G255">
        <v>3600</v>
      </c>
      <c r="H255">
        <v>33369.800000000003</v>
      </c>
      <c r="I255" t="s">
        <v>67</v>
      </c>
      <c r="J255">
        <v>10</v>
      </c>
      <c r="K255">
        <v>9387.59</v>
      </c>
      <c r="L255">
        <f t="shared" si="15"/>
        <v>4929.3066666666673</v>
      </c>
      <c r="M255" s="8">
        <f t="shared" si="16"/>
        <v>9.7376777802422515E-2</v>
      </c>
      <c r="N255" s="10">
        <f t="shared" si="17"/>
        <v>333698</v>
      </c>
      <c r="O255" s="10">
        <f t="shared" si="18"/>
        <v>324310.40999999997</v>
      </c>
      <c r="P255" s="9" t="str">
        <f t="shared" si="19"/>
        <v>OK</v>
      </c>
      <c r="Q255" s="9" t="str">
        <f>INDEX(Crops!$B$2:$B$7,MATCH(D255,Crops!$A$2:$A$7,0))</f>
        <v>Pepper</v>
      </c>
      <c r="R255" s="9" t="str">
        <f>INDEX(Districts!$B$2:$B$6,MATCH(C255,Districts!$A$2:$A$6,0))</f>
        <v>Techiman</v>
      </c>
    </row>
    <row r="256" spans="1:18">
      <c r="A256" t="s">
        <v>217</v>
      </c>
      <c r="B256" s="4">
        <v>45969</v>
      </c>
      <c r="C256" t="s">
        <v>45</v>
      </c>
      <c r="D256" t="s">
        <v>41</v>
      </c>
      <c r="E256">
        <v>5.7</v>
      </c>
      <c r="F256">
        <v>42260.9</v>
      </c>
      <c r="G256">
        <v>2719.7</v>
      </c>
      <c r="H256">
        <v>39541.199999999997</v>
      </c>
      <c r="I256" t="s">
        <v>65</v>
      </c>
      <c r="J256">
        <v>2.63</v>
      </c>
      <c r="K256">
        <v>8305.85</v>
      </c>
      <c r="L256">
        <f t="shared" si="15"/>
        <v>7414.1929824561403</v>
      </c>
      <c r="M256" s="8">
        <f t="shared" si="16"/>
        <v>6.4354994806073693E-2</v>
      </c>
      <c r="N256" s="10">
        <f t="shared" si="17"/>
        <v>103993.35599999999</v>
      </c>
      <c r="O256" s="10">
        <f t="shared" si="18"/>
        <v>95687.505999999979</v>
      </c>
      <c r="P256" s="9" t="str">
        <f t="shared" si="19"/>
        <v>OK</v>
      </c>
      <c r="Q256" s="9" t="str">
        <f>INDEX(Crops!$B$2:$B$7,MATCH(D256,Crops!$A$2:$A$7,0))</f>
        <v>Cassava</v>
      </c>
      <c r="R256" s="9" t="str">
        <f>INDEX(Districts!$B$2:$B$6,MATCH(C256,Districts!$A$2:$A$6,0))</f>
        <v>Ejura</v>
      </c>
    </row>
    <row r="257" spans="1:18">
      <c r="A257" t="s">
        <v>218</v>
      </c>
      <c r="B257" s="4">
        <v>46021</v>
      </c>
      <c r="C257" t="s">
        <v>53</v>
      </c>
      <c r="D257" t="s">
        <v>41</v>
      </c>
      <c r="E257">
        <v>7.8</v>
      </c>
      <c r="F257">
        <v>33518.300000000003</v>
      </c>
      <c r="G257">
        <v>3703.7</v>
      </c>
      <c r="H257">
        <v>29814.6</v>
      </c>
      <c r="I257" t="s">
        <v>70</v>
      </c>
      <c r="J257">
        <v>2.2000000000000002</v>
      </c>
      <c r="K257">
        <v>9715.98</v>
      </c>
      <c r="L257">
        <f t="shared" si="15"/>
        <v>4297.2179487179492</v>
      </c>
      <c r="M257" s="8">
        <f t="shared" si="16"/>
        <v>0.11049784744453028</v>
      </c>
      <c r="N257" s="10">
        <f t="shared" si="17"/>
        <v>65592.12</v>
      </c>
      <c r="O257" s="10">
        <f t="shared" si="18"/>
        <v>55876.14</v>
      </c>
      <c r="P257" s="9" t="str">
        <f t="shared" si="19"/>
        <v>OK</v>
      </c>
      <c r="Q257" s="9" t="str">
        <f>INDEX(Crops!$B$2:$B$7,MATCH(D257,Crops!$A$2:$A$7,0))</f>
        <v>Cassava</v>
      </c>
      <c r="R257" s="9" t="str">
        <f>INDEX(Districts!$B$2:$B$6,MATCH(C257,Districts!$A$2:$A$6,0))</f>
        <v>Hohoe</v>
      </c>
    </row>
    <row r="258" spans="1:18">
      <c r="A258" t="s">
        <v>101</v>
      </c>
      <c r="B258" s="4">
        <v>45851</v>
      </c>
      <c r="C258" t="s">
        <v>47</v>
      </c>
      <c r="D258" t="s">
        <v>37</v>
      </c>
      <c r="E258">
        <v>1</v>
      </c>
      <c r="F258">
        <v>4045.8</v>
      </c>
      <c r="G258">
        <v>143.30000000000001</v>
      </c>
      <c r="H258">
        <v>3902.5</v>
      </c>
      <c r="I258" t="s">
        <v>65</v>
      </c>
      <c r="J258">
        <v>7.99</v>
      </c>
      <c r="K258">
        <v>958.5</v>
      </c>
      <c r="L258">
        <f t="shared" ref="L258:L321" si="20">F258/E258</f>
        <v>4045.8</v>
      </c>
      <c r="M258" s="8">
        <f t="shared" ref="M258:M321" si="21">G258/F258</f>
        <v>3.541944732809333E-2</v>
      </c>
      <c r="N258" s="10">
        <f t="shared" ref="N258:N321" si="22">H258*J258</f>
        <v>31180.975000000002</v>
      </c>
      <c r="O258" s="10">
        <f t="shared" ref="O258:O321" si="23">N258-K258</f>
        <v>30222.475000000002</v>
      </c>
      <c r="P258" s="9" t="str">
        <f t="shared" ref="P258:P321" si="24">IF(H258+G258&gt;F258,"CHECK: Sold+Loss &gt; Harvest","OK")</f>
        <v>OK</v>
      </c>
      <c r="Q258" s="9" t="str">
        <f>INDEX(Crops!$B$2:$B$7,MATCH(D258,Crops!$A$2:$A$7,0))</f>
        <v>Pepper</v>
      </c>
      <c r="R258" s="9" t="str">
        <f>INDEX(Districts!$B$2:$B$6,MATCH(C258,Districts!$A$2:$A$6,0))</f>
        <v>Techiman</v>
      </c>
    </row>
    <row r="259" spans="1:18">
      <c r="A259" t="s">
        <v>107</v>
      </c>
      <c r="B259" s="4">
        <v>45999</v>
      </c>
      <c r="C259" t="s">
        <v>51</v>
      </c>
      <c r="D259" t="s">
        <v>41</v>
      </c>
      <c r="E259">
        <v>2.4</v>
      </c>
      <c r="F259">
        <v>18277.8</v>
      </c>
      <c r="G259">
        <v>1686.8</v>
      </c>
      <c r="H259">
        <v>16591</v>
      </c>
      <c r="I259" t="s">
        <v>70</v>
      </c>
      <c r="J259">
        <v>2.2799999999999998</v>
      </c>
      <c r="K259">
        <v>3935.31</v>
      </c>
      <c r="L259">
        <f t="shared" si="20"/>
        <v>7615.75</v>
      </c>
      <c r="M259" s="8">
        <f t="shared" si="21"/>
        <v>9.2286817888367303E-2</v>
      </c>
      <c r="N259" s="10">
        <f t="shared" si="22"/>
        <v>37827.479999999996</v>
      </c>
      <c r="O259" s="10">
        <f t="shared" si="23"/>
        <v>33892.17</v>
      </c>
      <c r="P259" s="9" t="str">
        <f t="shared" si="24"/>
        <v>OK</v>
      </c>
      <c r="Q259" s="9" t="str">
        <f>INDEX(Crops!$B$2:$B$7,MATCH(D259,Crops!$A$2:$A$7,0))</f>
        <v>Cassava</v>
      </c>
      <c r="R259" s="9" t="str">
        <f>INDEX(Districts!$B$2:$B$6,MATCH(C259,Districts!$A$2:$A$6,0))</f>
        <v>Kintampo</v>
      </c>
    </row>
    <row r="260" spans="1:18">
      <c r="A260" t="s">
        <v>103</v>
      </c>
      <c r="B260" s="4">
        <v>46171</v>
      </c>
      <c r="C260" t="s">
        <v>49</v>
      </c>
      <c r="D260" t="s">
        <v>33</v>
      </c>
      <c r="E260">
        <v>6.7</v>
      </c>
      <c r="F260">
        <v>17559.8</v>
      </c>
      <c r="G260">
        <v>1331.5</v>
      </c>
      <c r="H260">
        <v>16228.3</v>
      </c>
      <c r="I260" t="s">
        <v>70</v>
      </c>
      <c r="J260">
        <v>5.66</v>
      </c>
      <c r="K260">
        <v>9936.66</v>
      </c>
      <c r="L260">
        <f t="shared" si="20"/>
        <v>2620.8656716417909</v>
      </c>
      <c r="M260" s="8">
        <f t="shared" si="21"/>
        <v>7.5826603947653171E-2</v>
      </c>
      <c r="N260" s="10">
        <f t="shared" si="22"/>
        <v>91852.178</v>
      </c>
      <c r="O260" s="10">
        <f t="shared" si="23"/>
        <v>81915.517999999996</v>
      </c>
      <c r="P260" s="9" t="str">
        <f t="shared" si="24"/>
        <v>OK</v>
      </c>
      <c r="Q260" s="9" t="str">
        <f>INDEX(Crops!$B$2:$B$7,MATCH(D260,Crops!$A$2:$A$7,0))</f>
        <v>Rice</v>
      </c>
      <c r="R260" s="9" t="str">
        <f>INDEX(Districts!$B$2:$B$6,MATCH(C260,Districts!$A$2:$A$6,0))</f>
        <v>Tamale Metro</v>
      </c>
    </row>
    <row r="261" spans="1:18">
      <c r="A261" t="s">
        <v>175</v>
      </c>
      <c r="B261" s="4">
        <v>45996</v>
      </c>
      <c r="C261" t="s">
        <v>47</v>
      </c>
      <c r="D261" t="s">
        <v>41</v>
      </c>
      <c r="E261">
        <v>13.9</v>
      </c>
      <c r="F261">
        <v>68338.3</v>
      </c>
      <c r="G261">
        <v>4061</v>
      </c>
      <c r="H261">
        <v>64277.3</v>
      </c>
      <c r="I261" t="s">
        <v>67</v>
      </c>
      <c r="J261">
        <v>2.35</v>
      </c>
      <c r="K261">
        <v>17721.810000000001</v>
      </c>
      <c r="L261">
        <f t="shared" si="20"/>
        <v>4916.4244604316546</v>
      </c>
      <c r="M261" s="8">
        <f t="shared" si="21"/>
        <v>5.9424949113454681E-2</v>
      </c>
      <c r="N261" s="10">
        <f t="shared" si="22"/>
        <v>151051.655</v>
      </c>
      <c r="O261" s="10">
        <f t="shared" si="23"/>
        <v>133329.845</v>
      </c>
      <c r="P261" s="9" t="str">
        <f t="shared" si="24"/>
        <v>OK</v>
      </c>
      <c r="Q261" s="9" t="str">
        <f>INDEX(Crops!$B$2:$B$7,MATCH(D261,Crops!$A$2:$A$7,0))</f>
        <v>Cassava</v>
      </c>
      <c r="R261" s="9" t="str">
        <f>INDEX(Districts!$B$2:$B$6,MATCH(C261,Districts!$A$2:$A$6,0))</f>
        <v>Techiman</v>
      </c>
    </row>
    <row r="262" spans="1:18">
      <c r="A262" t="s">
        <v>176</v>
      </c>
      <c r="B262" s="4">
        <v>45963</v>
      </c>
      <c r="C262" t="s">
        <v>51</v>
      </c>
      <c r="D262" t="s">
        <v>39</v>
      </c>
      <c r="E262">
        <v>1.5</v>
      </c>
      <c r="F262">
        <v>1464.9</v>
      </c>
      <c r="G262">
        <v>98.8</v>
      </c>
      <c r="H262">
        <v>1366.1</v>
      </c>
      <c r="I262" t="s">
        <v>67</v>
      </c>
      <c r="J262">
        <v>5.2</v>
      </c>
      <c r="K262">
        <v>1529.77</v>
      </c>
      <c r="L262">
        <f t="shared" si="20"/>
        <v>976.6</v>
      </c>
      <c r="M262" s="8">
        <f t="shared" si="21"/>
        <v>6.744487678339818E-2</v>
      </c>
      <c r="N262" s="10">
        <f t="shared" si="22"/>
        <v>7103.7199999999993</v>
      </c>
      <c r="O262" s="10">
        <f t="shared" si="23"/>
        <v>5573.9499999999989</v>
      </c>
      <c r="P262" s="9" t="str">
        <f t="shared" si="24"/>
        <v>OK</v>
      </c>
      <c r="Q262" s="9" t="str">
        <f>INDEX(Crops!$B$2:$B$7,MATCH(D262,Crops!$A$2:$A$7,0))</f>
        <v>Soybean</v>
      </c>
      <c r="R262" s="9" t="str">
        <f>INDEX(Districts!$B$2:$B$6,MATCH(C262,Districts!$A$2:$A$6,0))</f>
        <v>Kintampo</v>
      </c>
    </row>
    <row r="263" spans="1:18">
      <c r="A263" t="s">
        <v>122</v>
      </c>
      <c r="B263" s="4">
        <v>45993</v>
      </c>
      <c r="C263" t="s">
        <v>45</v>
      </c>
      <c r="D263" t="s">
        <v>31</v>
      </c>
      <c r="E263">
        <v>5.9</v>
      </c>
      <c r="F263">
        <v>10165.6</v>
      </c>
      <c r="G263">
        <v>863.8</v>
      </c>
      <c r="H263">
        <v>9301.7999999999993</v>
      </c>
      <c r="I263" t="s">
        <v>67</v>
      </c>
      <c r="J263">
        <v>3.51</v>
      </c>
      <c r="K263">
        <v>10063.58</v>
      </c>
      <c r="L263">
        <f t="shared" si="20"/>
        <v>1722.9830508474577</v>
      </c>
      <c r="M263" s="8">
        <f t="shared" si="21"/>
        <v>8.4972849610450929E-2</v>
      </c>
      <c r="N263" s="10">
        <f t="shared" si="22"/>
        <v>32649.317999999996</v>
      </c>
      <c r="O263" s="10">
        <f t="shared" si="23"/>
        <v>22585.737999999998</v>
      </c>
      <c r="P263" s="9" t="str">
        <f t="shared" si="24"/>
        <v>OK</v>
      </c>
      <c r="Q263" s="9" t="str">
        <f>INDEX(Crops!$B$2:$B$7,MATCH(D263,Crops!$A$2:$A$7,0))</f>
        <v>Maize</v>
      </c>
      <c r="R263" s="9" t="str">
        <f>INDEX(Districts!$B$2:$B$6,MATCH(C263,Districts!$A$2:$A$6,0))</f>
        <v>Ejura</v>
      </c>
    </row>
    <row r="264" spans="1:18">
      <c r="A264" t="s">
        <v>122</v>
      </c>
      <c r="B264" s="4">
        <v>46075</v>
      </c>
      <c r="C264" t="s">
        <v>49</v>
      </c>
      <c r="D264" t="s">
        <v>37</v>
      </c>
      <c r="E264">
        <v>7</v>
      </c>
      <c r="F264">
        <v>39532.199999999997</v>
      </c>
      <c r="G264">
        <v>3315.2</v>
      </c>
      <c r="H264">
        <v>36217</v>
      </c>
      <c r="I264" t="s">
        <v>77</v>
      </c>
      <c r="J264">
        <v>9.94</v>
      </c>
      <c r="K264">
        <v>7764.39</v>
      </c>
      <c r="L264">
        <f t="shared" si="20"/>
        <v>5647.4571428571426</v>
      </c>
      <c r="M264" s="8">
        <f t="shared" si="21"/>
        <v>8.3860751488659874E-2</v>
      </c>
      <c r="N264" s="10">
        <f t="shared" si="22"/>
        <v>359996.98</v>
      </c>
      <c r="O264" s="10">
        <f t="shared" si="23"/>
        <v>352232.58999999997</v>
      </c>
      <c r="P264" s="9" t="str">
        <f t="shared" si="24"/>
        <v>OK</v>
      </c>
      <c r="Q264" s="9" t="str">
        <f>INDEX(Crops!$B$2:$B$7,MATCH(D264,Crops!$A$2:$A$7,0))</f>
        <v>Pepper</v>
      </c>
      <c r="R264" s="9" t="str">
        <f>INDEX(Districts!$B$2:$B$6,MATCH(C264,Districts!$A$2:$A$6,0))</f>
        <v>Tamale Metro</v>
      </c>
    </row>
    <row r="265" spans="1:18">
      <c r="A265" t="s">
        <v>189</v>
      </c>
      <c r="B265" s="4">
        <v>45973</v>
      </c>
      <c r="C265" t="s">
        <v>45</v>
      </c>
      <c r="D265" t="s">
        <v>35</v>
      </c>
      <c r="E265">
        <v>7.2</v>
      </c>
      <c r="F265">
        <v>60628.9</v>
      </c>
      <c r="G265">
        <v>2324.3000000000002</v>
      </c>
      <c r="H265">
        <v>58304.6</v>
      </c>
      <c r="I265" t="s">
        <v>65</v>
      </c>
      <c r="J265">
        <v>7.2</v>
      </c>
      <c r="K265">
        <v>12362.33</v>
      </c>
      <c r="L265">
        <f t="shared" si="20"/>
        <v>8420.6805555555547</v>
      </c>
      <c r="M265" s="8">
        <f t="shared" si="21"/>
        <v>3.8336502888886327E-2</v>
      </c>
      <c r="N265" s="10">
        <f t="shared" si="22"/>
        <v>419793.12</v>
      </c>
      <c r="O265" s="10">
        <f t="shared" si="23"/>
        <v>407430.79</v>
      </c>
      <c r="P265" s="9" t="str">
        <f t="shared" si="24"/>
        <v>OK</v>
      </c>
      <c r="Q265" s="9" t="str">
        <f>INDEX(Crops!$B$2:$B$7,MATCH(D265,Crops!$A$2:$A$7,0))</f>
        <v>Tomato</v>
      </c>
      <c r="R265" s="9" t="str">
        <f>INDEX(Districts!$B$2:$B$6,MATCH(C265,Districts!$A$2:$A$6,0))</f>
        <v>Ejura</v>
      </c>
    </row>
    <row r="266" spans="1:18">
      <c r="A266" t="s">
        <v>72</v>
      </c>
      <c r="B266" s="4">
        <v>46163</v>
      </c>
      <c r="C266" t="s">
        <v>47</v>
      </c>
      <c r="D266" t="s">
        <v>35</v>
      </c>
      <c r="E266">
        <v>14.5</v>
      </c>
      <c r="F266">
        <v>73032.600000000006</v>
      </c>
      <c r="G266">
        <v>5264.9</v>
      </c>
      <c r="H266">
        <v>67767.7</v>
      </c>
      <c r="I266" t="s">
        <v>70</v>
      </c>
      <c r="J266">
        <v>6.33</v>
      </c>
      <c r="K266">
        <v>21433.07</v>
      </c>
      <c r="L266">
        <f t="shared" si="20"/>
        <v>5036.7310344827592</v>
      </c>
      <c r="M266" s="8">
        <f t="shared" si="21"/>
        <v>7.2089724314894979E-2</v>
      </c>
      <c r="N266" s="10">
        <f t="shared" si="22"/>
        <v>428969.54099999997</v>
      </c>
      <c r="O266" s="10">
        <f t="shared" si="23"/>
        <v>407536.47099999996</v>
      </c>
      <c r="P266" s="9" t="str">
        <f t="shared" si="24"/>
        <v>OK</v>
      </c>
      <c r="Q266" s="9" t="str">
        <f>INDEX(Crops!$B$2:$B$7,MATCH(D266,Crops!$A$2:$A$7,0))</f>
        <v>Tomato</v>
      </c>
      <c r="R266" s="9" t="str">
        <f>INDEX(Districts!$B$2:$B$6,MATCH(C266,Districts!$A$2:$A$6,0))</f>
        <v>Techiman</v>
      </c>
    </row>
    <row r="267" spans="1:18">
      <c r="A267" t="s">
        <v>214</v>
      </c>
      <c r="B267" s="4">
        <v>45854</v>
      </c>
      <c r="C267" t="s">
        <v>53</v>
      </c>
      <c r="D267" t="s">
        <v>35</v>
      </c>
      <c r="E267">
        <v>11.7</v>
      </c>
      <c r="F267">
        <v>78102.3</v>
      </c>
      <c r="G267">
        <v>3903.5</v>
      </c>
      <c r="H267">
        <v>74198.8</v>
      </c>
      <c r="I267" t="s">
        <v>65</v>
      </c>
      <c r="J267">
        <v>6.5</v>
      </c>
      <c r="K267">
        <v>19960.66</v>
      </c>
      <c r="L267">
        <f t="shared" si="20"/>
        <v>6675.4102564102568</v>
      </c>
      <c r="M267" s="8">
        <f t="shared" si="21"/>
        <v>4.9979321991797936E-2</v>
      </c>
      <c r="N267" s="10">
        <f t="shared" si="22"/>
        <v>482292.2</v>
      </c>
      <c r="O267" s="10">
        <f t="shared" si="23"/>
        <v>462331.54000000004</v>
      </c>
      <c r="P267" s="9" t="str">
        <f t="shared" si="24"/>
        <v>OK</v>
      </c>
      <c r="Q267" s="9" t="str">
        <f>INDEX(Crops!$B$2:$B$7,MATCH(D267,Crops!$A$2:$A$7,0))</f>
        <v>Tomato</v>
      </c>
      <c r="R267" s="9" t="str">
        <f>INDEX(Districts!$B$2:$B$6,MATCH(C267,Districts!$A$2:$A$6,0))</f>
        <v>Hohoe</v>
      </c>
    </row>
    <row r="268" spans="1:18">
      <c r="A268" t="s">
        <v>156</v>
      </c>
      <c r="B268" s="4">
        <v>46143</v>
      </c>
      <c r="C268" t="s">
        <v>45</v>
      </c>
      <c r="D268" t="s">
        <v>33</v>
      </c>
      <c r="E268">
        <v>13.2</v>
      </c>
      <c r="F268">
        <v>24323.5</v>
      </c>
      <c r="G268">
        <v>3660.9</v>
      </c>
      <c r="H268">
        <v>20662.599999999999</v>
      </c>
      <c r="I268" t="s">
        <v>67</v>
      </c>
      <c r="J268">
        <v>5.52</v>
      </c>
      <c r="K268">
        <v>16108.13</v>
      </c>
      <c r="L268">
        <f t="shared" si="20"/>
        <v>1842.689393939394</v>
      </c>
      <c r="M268" s="8">
        <f t="shared" si="21"/>
        <v>0.15050876724155651</v>
      </c>
      <c r="N268" s="10">
        <f t="shared" si="22"/>
        <v>114057.55199999998</v>
      </c>
      <c r="O268" s="10">
        <f t="shared" si="23"/>
        <v>97949.421999999977</v>
      </c>
      <c r="P268" s="9" t="str">
        <f t="shared" si="24"/>
        <v>OK</v>
      </c>
      <c r="Q268" s="9" t="str">
        <f>INDEX(Crops!$B$2:$B$7,MATCH(D268,Crops!$A$2:$A$7,0))</f>
        <v>Rice</v>
      </c>
      <c r="R268" s="9" t="str">
        <f>INDEX(Districts!$B$2:$B$6,MATCH(C268,Districts!$A$2:$A$6,0))</f>
        <v>Ejura</v>
      </c>
    </row>
    <row r="269" spans="1:18">
      <c r="A269" t="s">
        <v>219</v>
      </c>
      <c r="B269" s="4">
        <v>46115</v>
      </c>
      <c r="C269" t="s">
        <v>47</v>
      </c>
      <c r="D269" t="s">
        <v>39</v>
      </c>
      <c r="E269">
        <v>3.1</v>
      </c>
      <c r="F269">
        <v>4352.3999999999996</v>
      </c>
      <c r="G269">
        <v>652.79999999999995</v>
      </c>
      <c r="H269">
        <v>3699.6</v>
      </c>
      <c r="I269" t="s">
        <v>65</v>
      </c>
      <c r="J269">
        <v>4.91</v>
      </c>
      <c r="K269">
        <v>3679.24</v>
      </c>
      <c r="L269">
        <f t="shared" si="20"/>
        <v>1403.9999999999998</v>
      </c>
      <c r="M269" s="8">
        <f t="shared" si="21"/>
        <v>0.14998621450234353</v>
      </c>
      <c r="N269" s="10">
        <f t="shared" si="22"/>
        <v>18165.036</v>
      </c>
      <c r="O269" s="10">
        <f t="shared" si="23"/>
        <v>14485.796</v>
      </c>
      <c r="P269" s="9" t="str">
        <f t="shared" si="24"/>
        <v>OK</v>
      </c>
      <c r="Q269" s="9" t="str">
        <f>INDEX(Crops!$B$2:$B$7,MATCH(D269,Crops!$A$2:$A$7,0))</f>
        <v>Soybean</v>
      </c>
      <c r="R269" s="9" t="str">
        <f>INDEX(Districts!$B$2:$B$6,MATCH(C269,Districts!$A$2:$A$6,0))</f>
        <v>Techiman</v>
      </c>
    </row>
    <row r="270" spans="1:18">
      <c r="A270" t="s">
        <v>150</v>
      </c>
      <c r="B270" s="4">
        <v>46201</v>
      </c>
      <c r="C270" t="s">
        <v>45</v>
      </c>
      <c r="D270" t="s">
        <v>35</v>
      </c>
      <c r="E270">
        <v>14.3</v>
      </c>
      <c r="F270">
        <v>143731.5</v>
      </c>
      <c r="G270">
        <v>20451.900000000001</v>
      </c>
      <c r="H270">
        <v>123279.6</v>
      </c>
      <c r="I270" t="s">
        <v>77</v>
      </c>
      <c r="J270">
        <v>5.69</v>
      </c>
      <c r="K270">
        <v>17047.169999999998</v>
      </c>
      <c r="L270">
        <f t="shared" si="20"/>
        <v>10051.153846153846</v>
      </c>
      <c r="M270" s="8">
        <f t="shared" si="21"/>
        <v>0.14229239936965801</v>
      </c>
      <c r="N270" s="10">
        <f t="shared" si="22"/>
        <v>701460.92400000012</v>
      </c>
      <c r="O270" s="10">
        <f t="shared" si="23"/>
        <v>684413.75400000007</v>
      </c>
      <c r="P270" s="9" t="str">
        <f t="shared" si="24"/>
        <v>OK</v>
      </c>
      <c r="Q270" s="9" t="str">
        <f>INDEX(Crops!$B$2:$B$7,MATCH(D270,Crops!$A$2:$A$7,0))</f>
        <v>Tomato</v>
      </c>
      <c r="R270" s="9" t="str">
        <f>INDEX(Districts!$B$2:$B$6,MATCH(C270,Districts!$A$2:$A$6,0))</f>
        <v>Ejura</v>
      </c>
    </row>
    <row r="271" spans="1:18">
      <c r="A271" t="s">
        <v>66</v>
      </c>
      <c r="B271" s="4">
        <v>45987</v>
      </c>
      <c r="C271" t="s">
        <v>51</v>
      </c>
      <c r="D271" t="s">
        <v>33</v>
      </c>
      <c r="E271">
        <v>14</v>
      </c>
      <c r="F271">
        <v>28959.5</v>
      </c>
      <c r="G271">
        <v>3737.4</v>
      </c>
      <c r="H271">
        <v>25222.1</v>
      </c>
      <c r="I271" t="s">
        <v>67</v>
      </c>
      <c r="J271">
        <v>5.36</v>
      </c>
      <c r="K271">
        <v>9895.19</v>
      </c>
      <c r="L271">
        <f t="shared" si="20"/>
        <v>2068.5357142857142</v>
      </c>
      <c r="M271" s="8">
        <f t="shared" si="21"/>
        <v>0.12905609558176073</v>
      </c>
      <c r="N271" s="10">
        <f t="shared" si="22"/>
        <v>135190.45600000001</v>
      </c>
      <c r="O271" s="10">
        <f t="shared" si="23"/>
        <v>125295.266</v>
      </c>
      <c r="P271" s="9" t="str">
        <f t="shared" si="24"/>
        <v>OK</v>
      </c>
      <c r="Q271" s="9" t="str">
        <f>INDEX(Crops!$B$2:$B$7,MATCH(D271,Crops!$A$2:$A$7,0))</f>
        <v>Rice</v>
      </c>
      <c r="R271" s="9" t="str">
        <f>INDEX(Districts!$B$2:$B$6,MATCH(C271,Districts!$A$2:$A$6,0))</f>
        <v>Kintampo</v>
      </c>
    </row>
    <row r="272" spans="1:18">
      <c r="A272" t="s">
        <v>179</v>
      </c>
      <c r="B272" s="4">
        <v>46090</v>
      </c>
      <c r="C272" t="s">
        <v>45</v>
      </c>
      <c r="D272" t="s">
        <v>35</v>
      </c>
      <c r="E272">
        <v>13.2</v>
      </c>
      <c r="F272">
        <v>96479.2</v>
      </c>
      <c r="G272">
        <v>14716.9</v>
      </c>
      <c r="H272">
        <v>81762.3</v>
      </c>
      <c r="I272" t="s">
        <v>65</v>
      </c>
      <c r="J272">
        <v>5.83</v>
      </c>
      <c r="K272">
        <v>13481</v>
      </c>
      <c r="L272">
        <f t="shared" si="20"/>
        <v>7309.030303030303</v>
      </c>
      <c r="M272" s="8">
        <f t="shared" si="21"/>
        <v>0.15253961475634126</v>
      </c>
      <c r="N272" s="10">
        <f t="shared" si="22"/>
        <v>476674.20900000003</v>
      </c>
      <c r="O272" s="10">
        <f t="shared" si="23"/>
        <v>463193.20900000003</v>
      </c>
      <c r="P272" s="9" t="str">
        <f t="shared" si="24"/>
        <v>OK</v>
      </c>
      <c r="Q272" s="9" t="str">
        <f>INDEX(Crops!$B$2:$B$7,MATCH(D272,Crops!$A$2:$A$7,0))</f>
        <v>Tomato</v>
      </c>
      <c r="R272" s="9" t="str">
        <f>INDEX(Districts!$B$2:$B$6,MATCH(C272,Districts!$A$2:$A$6,0))</f>
        <v>Ejura</v>
      </c>
    </row>
    <row r="273" spans="1:18">
      <c r="A273" t="s">
        <v>131</v>
      </c>
      <c r="B273" s="4">
        <v>45988</v>
      </c>
      <c r="C273" t="s">
        <v>53</v>
      </c>
      <c r="D273" t="s">
        <v>33</v>
      </c>
      <c r="E273">
        <v>6.6</v>
      </c>
      <c r="F273">
        <v>13237.3</v>
      </c>
      <c r="G273">
        <v>1952</v>
      </c>
      <c r="H273">
        <v>11285.3</v>
      </c>
      <c r="I273" t="s">
        <v>67</v>
      </c>
      <c r="J273">
        <v>6.56</v>
      </c>
      <c r="K273">
        <v>10941.22</v>
      </c>
      <c r="L273">
        <f t="shared" si="20"/>
        <v>2005.6515151515152</v>
      </c>
      <c r="M273" s="8">
        <f t="shared" si="21"/>
        <v>0.14746209574460048</v>
      </c>
      <c r="N273" s="10">
        <f t="shared" si="22"/>
        <v>74031.567999999985</v>
      </c>
      <c r="O273" s="10">
        <f t="shared" si="23"/>
        <v>63090.347999999984</v>
      </c>
      <c r="P273" s="9" t="str">
        <f t="shared" si="24"/>
        <v>OK</v>
      </c>
      <c r="Q273" s="9" t="str">
        <f>INDEX(Crops!$B$2:$B$7,MATCH(D273,Crops!$A$2:$A$7,0))</f>
        <v>Rice</v>
      </c>
      <c r="R273" s="9" t="str">
        <f>INDEX(Districts!$B$2:$B$6,MATCH(C273,Districts!$A$2:$A$6,0))</f>
        <v>Hohoe</v>
      </c>
    </row>
    <row r="274" spans="1:18">
      <c r="A274" t="s">
        <v>104</v>
      </c>
      <c r="B274" s="4">
        <v>46124</v>
      </c>
      <c r="C274" t="s">
        <v>51</v>
      </c>
      <c r="D274" t="s">
        <v>31</v>
      </c>
      <c r="E274">
        <v>5.5</v>
      </c>
      <c r="F274">
        <v>6519.1</v>
      </c>
      <c r="G274">
        <v>560.70000000000005</v>
      </c>
      <c r="H274">
        <v>5958.4</v>
      </c>
      <c r="I274" t="s">
        <v>77</v>
      </c>
      <c r="J274">
        <v>3.63</v>
      </c>
      <c r="K274">
        <v>6648.8</v>
      </c>
      <c r="L274">
        <f t="shared" si="20"/>
        <v>1185.2909090909091</v>
      </c>
      <c r="M274" s="8">
        <f t="shared" si="21"/>
        <v>8.6008804896381408E-2</v>
      </c>
      <c r="N274" s="10">
        <f t="shared" si="22"/>
        <v>21628.991999999998</v>
      </c>
      <c r="O274" s="10">
        <f t="shared" si="23"/>
        <v>14980.191999999999</v>
      </c>
      <c r="P274" s="9" t="str">
        <f t="shared" si="24"/>
        <v>OK</v>
      </c>
      <c r="Q274" s="9" t="str">
        <f>INDEX(Crops!$B$2:$B$7,MATCH(D274,Crops!$A$2:$A$7,0))</f>
        <v>Maize</v>
      </c>
      <c r="R274" s="9" t="str">
        <f>INDEX(Districts!$B$2:$B$6,MATCH(C274,Districts!$A$2:$A$6,0))</f>
        <v>Kintampo</v>
      </c>
    </row>
    <row r="275" spans="1:18">
      <c r="A275" t="s">
        <v>193</v>
      </c>
      <c r="B275" s="4">
        <v>45919</v>
      </c>
      <c r="C275" t="s">
        <v>51</v>
      </c>
      <c r="D275" t="s">
        <v>39</v>
      </c>
      <c r="E275">
        <v>14.6</v>
      </c>
      <c r="F275">
        <v>18208.599999999999</v>
      </c>
      <c r="G275">
        <v>1359.8</v>
      </c>
      <c r="H275">
        <v>16848.8</v>
      </c>
      <c r="I275" t="s">
        <v>70</v>
      </c>
      <c r="J275">
        <v>3.91</v>
      </c>
      <c r="K275">
        <v>15292.49</v>
      </c>
      <c r="L275">
        <f t="shared" si="20"/>
        <v>1247.1643835616437</v>
      </c>
      <c r="M275" s="8">
        <f t="shared" si="21"/>
        <v>7.4678997836187297E-2</v>
      </c>
      <c r="N275" s="10">
        <f t="shared" si="22"/>
        <v>65878.808000000005</v>
      </c>
      <c r="O275" s="10">
        <f t="shared" si="23"/>
        <v>50586.318000000007</v>
      </c>
      <c r="P275" s="9" t="str">
        <f t="shared" si="24"/>
        <v>OK</v>
      </c>
      <c r="Q275" s="9" t="str">
        <f>INDEX(Crops!$B$2:$B$7,MATCH(D275,Crops!$A$2:$A$7,0))</f>
        <v>Soybean</v>
      </c>
      <c r="R275" s="9" t="str">
        <f>INDEX(Districts!$B$2:$B$6,MATCH(C275,Districts!$A$2:$A$6,0))</f>
        <v>Kintampo</v>
      </c>
    </row>
    <row r="276" spans="1:18">
      <c r="A276" t="s">
        <v>220</v>
      </c>
      <c r="B276" s="4">
        <v>46020</v>
      </c>
      <c r="C276" t="s">
        <v>51</v>
      </c>
      <c r="D276" t="s">
        <v>33</v>
      </c>
      <c r="E276">
        <v>8.1999999999999993</v>
      </c>
      <c r="F276">
        <v>21435.8</v>
      </c>
      <c r="G276">
        <v>1133</v>
      </c>
      <c r="H276">
        <v>20302.8</v>
      </c>
      <c r="I276" t="s">
        <v>70</v>
      </c>
      <c r="J276">
        <v>5.01</v>
      </c>
      <c r="K276">
        <v>5457.63</v>
      </c>
      <c r="L276">
        <f t="shared" si="20"/>
        <v>2614.1219512195125</v>
      </c>
      <c r="M276" s="8">
        <f t="shared" si="21"/>
        <v>5.2855503410182969E-2</v>
      </c>
      <c r="N276" s="10">
        <f t="shared" si="22"/>
        <v>101717.02799999999</v>
      </c>
      <c r="O276" s="10">
        <f t="shared" si="23"/>
        <v>96259.397999999986</v>
      </c>
      <c r="P276" s="9" t="str">
        <f t="shared" si="24"/>
        <v>OK</v>
      </c>
      <c r="Q276" s="9" t="str">
        <f>INDEX(Crops!$B$2:$B$7,MATCH(D276,Crops!$A$2:$A$7,0))</f>
        <v>Rice</v>
      </c>
      <c r="R276" s="9" t="str">
        <f>INDEX(Districts!$B$2:$B$6,MATCH(C276,Districts!$A$2:$A$6,0))</f>
        <v>Kintampo</v>
      </c>
    </row>
    <row r="277" spans="1:18">
      <c r="A277" t="s">
        <v>221</v>
      </c>
      <c r="B277" s="4">
        <v>45921</v>
      </c>
      <c r="C277" t="s">
        <v>45</v>
      </c>
      <c r="D277" t="s">
        <v>37</v>
      </c>
      <c r="E277">
        <v>14.6</v>
      </c>
      <c r="F277">
        <v>76661.8</v>
      </c>
      <c r="G277">
        <v>7934.3</v>
      </c>
      <c r="H277">
        <v>68727.5</v>
      </c>
      <c r="I277" t="s">
        <v>70</v>
      </c>
      <c r="J277">
        <v>8.6300000000000008</v>
      </c>
      <c r="K277">
        <v>16733.650000000001</v>
      </c>
      <c r="L277">
        <f t="shared" si="20"/>
        <v>5250.8082191780823</v>
      </c>
      <c r="M277" s="8">
        <f t="shared" si="21"/>
        <v>0.10349743940267513</v>
      </c>
      <c r="N277" s="10">
        <f t="shared" si="22"/>
        <v>593118.32500000007</v>
      </c>
      <c r="O277" s="10">
        <f t="shared" si="23"/>
        <v>576384.67500000005</v>
      </c>
      <c r="P277" s="9" t="str">
        <f t="shared" si="24"/>
        <v>OK</v>
      </c>
      <c r="Q277" s="9" t="str">
        <f>INDEX(Crops!$B$2:$B$7,MATCH(D277,Crops!$A$2:$A$7,0))</f>
        <v>Pepper</v>
      </c>
      <c r="R277" s="9" t="str">
        <f>INDEX(Districts!$B$2:$B$6,MATCH(C277,Districts!$A$2:$A$6,0))</f>
        <v>Ejura</v>
      </c>
    </row>
    <row r="278" spans="1:18">
      <c r="A278" t="s">
        <v>87</v>
      </c>
      <c r="B278" s="4">
        <v>46058</v>
      </c>
      <c r="C278" t="s">
        <v>51</v>
      </c>
      <c r="D278" t="s">
        <v>39</v>
      </c>
      <c r="E278">
        <v>4.0999999999999996</v>
      </c>
      <c r="F278">
        <v>5721</v>
      </c>
      <c r="G278">
        <v>280.2</v>
      </c>
      <c r="H278">
        <v>5440.8</v>
      </c>
      <c r="I278" t="s">
        <v>70</v>
      </c>
      <c r="J278">
        <v>5.25</v>
      </c>
      <c r="K278">
        <v>6118.64</v>
      </c>
      <c r="L278">
        <f t="shared" si="20"/>
        <v>1395.3658536585367</v>
      </c>
      <c r="M278" s="8">
        <f t="shared" si="21"/>
        <v>4.8977451494493965E-2</v>
      </c>
      <c r="N278" s="10">
        <f t="shared" si="22"/>
        <v>28564.2</v>
      </c>
      <c r="O278" s="10">
        <f t="shared" si="23"/>
        <v>22445.56</v>
      </c>
      <c r="P278" s="9" t="str">
        <f t="shared" si="24"/>
        <v>OK</v>
      </c>
      <c r="Q278" s="9" t="str">
        <f>INDEX(Crops!$B$2:$B$7,MATCH(D278,Crops!$A$2:$A$7,0))</f>
        <v>Soybean</v>
      </c>
      <c r="R278" s="9" t="str">
        <f>INDEX(Districts!$B$2:$B$6,MATCH(C278,Districts!$A$2:$A$6,0))</f>
        <v>Kintampo</v>
      </c>
    </row>
    <row r="279" spans="1:18">
      <c r="A279" t="s">
        <v>83</v>
      </c>
      <c r="B279" s="4">
        <v>45871</v>
      </c>
      <c r="C279" t="s">
        <v>53</v>
      </c>
      <c r="D279" t="s">
        <v>33</v>
      </c>
      <c r="E279">
        <v>11.3</v>
      </c>
      <c r="F279">
        <v>30057</v>
      </c>
      <c r="G279">
        <v>2956.9</v>
      </c>
      <c r="H279">
        <v>27100.1</v>
      </c>
      <c r="I279" t="s">
        <v>65</v>
      </c>
      <c r="J279">
        <v>5.59</v>
      </c>
      <c r="K279">
        <v>14309.68</v>
      </c>
      <c r="L279">
        <f t="shared" si="20"/>
        <v>2659.9115044247787</v>
      </c>
      <c r="M279" s="8">
        <f t="shared" si="21"/>
        <v>9.8376418138869479E-2</v>
      </c>
      <c r="N279" s="10">
        <f t="shared" si="22"/>
        <v>151489.55899999998</v>
      </c>
      <c r="O279" s="10">
        <f t="shared" si="23"/>
        <v>137179.87899999999</v>
      </c>
      <c r="P279" s="9" t="str">
        <f t="shared" si="24"/>
        <v>OK</v>
      </c>
      <c r="Q279" s="9" t="str">
        <f>INDEX(Crops!$B$2:$B$7,MATCH(D279,Crops!$A$2:$A$7,0))</f>
        <v>Rice</v>
      </c>
      <c r="R279" s="9" t="str">
        <f>INDEX(Districts!$B$2:$B$6,MATCH(C279,Districts!$A$2:$A$6,0))</f>
        <v>Hohoe</v>
      </c>
    </row>
    <row r="280" spans="1:18">
      <c r="A280" t="s">
        <v>188</v>
      </c>
      <c r="B280" s="4">
        <v>46133</v>
      </c>
      <c r="C280" t="s">
        <v>51</v>
      </c>
      <c r="D280" t="s">
        <v>41</v>
      </c>
      <c r="E280">
        <v>7.6</v>
      </c>
      <c r="F280">
        <v>47835.199999999997</v>
      </c>
      <c r="G280">
        <v>2429.1999999999998</v>
      </c>
      <c r="H280">
        <v>45406</v>
      </c>
      <c r="I280" t="s">
        <v>70</v>
      </c>
      <c r="J280">
        <v>2.0699999999999998</v>
      </c>
      <c r="K280">
        <v>5818.78</v>
      </c>
      <c r="L280">
        <f t="shared" si="20"/>
        <v>6294.105263157895</v>
      </c>
      <c r="M280" s="8">
        <f t="shared" si="21"/>
        <v>5.078268722614309E-2</v>
      </c>
      <c r="N280" s="10">
        <f t="shared" si="22"/>
        <v>93990.42</v>
      </c>
      <c r="O280" s="10">
        <f t="shared" si="23"/>
        <v>88171.64</v>
      </c>
      <c r="P280" s="9" t="str">
        <f t="shared" si="24"/>
        <v>OK</v>
      </c>
      <c r="Q280" s="9" t="str">
        <f>INDEX(Crops!$B$2:$B$7,MATCH(D280,Crops!$A$2:$A$7,0))</f>
        <v>Cassava</v>
      </c>
      <c r="R280" s="9" t="str">
        <f>INDEX(Districts!$B$2:$B$6,MATCH(C280,Districts!$A$2:$A$6,0))</f>
        <v>Kintampo</v>
      </c>
    </row>
    <row r="281" spans="1:18">
      <c r="A281" t="s">
        <v>172</v>
      </c>
      <c r="B281" s="4">
        <v>45885</v>
      </c>
      <c r="C281" t="s">
        <v>51</v>
      </c>
      <c r="D281" t="s">
        <v>35</v>
      </c>
      <c r="E281">
        <v>3.5</v>
      </c>
      <c r="F281">
        <v>22771.3</v>
      </c>
      <c r="G281">
        <v>2350.4</v>
      </c>
      <c r="H281">
        <v>20420.900000000001</v>
      </c>
      <c r="I281" t="s">
        <v>70</v>
      </c>
      <c r="J281">
        <v>6.1</v>
      </c>
      <c r="K281">
        <v>4477.34</v>
      </c>
      <c r="L281">
        <f t="shared" si="20"/>
        <v>6506.0857142857139</v>
      </c>
      <c r="M281" s="8">
        <f t="shared" si="21"/>
        <v>0.10321764677466812</v>
      </c>
      <c r="N281" s="10">
        <f t="shared" si="22"/>
        <v>124567.49</v>
      </c>
      <c r="O281" s="10">
        <f t="shared" si="23"/>
        <v>120090.15000000001</v>
      </c>
      <c r="P281" s="9" t="str">
        <f t="shared" si="24"/>
        <v>OK</v>
      </c>
      <c r="Q281" s="9" t="str">
        <f>INDEX(Crops!$B$2:$B$7,MATCH(D281,Crops!$A$2:$A$7,0))</f>
        <v>Tomato</v>
      </c>
      <c r="R281" s="9" t="str">
        <f>INDEX(Districts!$B$2:$B$6,MATCH(C281,Districts!$A$2:$A$6,0))</f>
        <v>Kintampo</v>
      </c>
    </row>
    <row r="282" spans="1:18">
      <c r="A282" t="s">
        <v>217</v>
      </c>
      <c r="B282" s="4">
        <v>45992</v>
      </c>
      <c r="C282" t="s">
        <v>49</v>
      </c>
      <c r="D282" t="s">
        <v>35</v>
      </c>
      <c r="E282">
        <v>4.5999999999999996</v>
      </c>
      <c r="F282">
        <v>46047.5</v>
      </c>
      <c r="G282">
        <v>2948.3</v>
      </c>
      <c r="H282">
        <v>43099.199999999997</v>
      </c>
      <c r="I282" t="s">
        <v>65</v>
      </c>
      <c r="J282">
        <v>5.75</v>
      </c>
      <c r="K282">
        <v>7210.64</v>
      </c>
      <c r="L282">
        <f t="shared" si="20"/>
        <v>10010.326086956522</v>
      </c>
      <c r="M282" s="8">
        <f t="shared" si="21"/>
        <v>6.4027363049025468E-2</v>
      </c>
      <c r="N282" s="10">
        <f t="shared" si="22"/>
        <v>247820.4</v>
      </c>
      <c r="O282" s="10">
        <f t="shared" si="23"/>
        <v>240609.75999999998</v>
      </c>
      <c r="P282" s="9" t="str">
        <f t="shared" si="24"/>
        <v>OK</v>
      </c>
      <c r="Q282" s="9" t="str">
        <f>INDEX(Crops!$B$2:$B$7,MATCH(D282,Crops!$A$2:$A$7,0))</f>
        <v>Tomato</v>
      </c>
      <c r="R282" s="9" t="str">
        <f>INDEX(Districts!$B$2:$B$6,MATCH(C282,Districts!$A$2:$A$6,0))</f>
        <v>Tamale Metro</v>
      </c>
    </row>
    <row r="283" spans="1:18">
      <c r="A283" t="s">
        <v>221</v>
      </c>
      <c r="B283" s="4">
        <v>45919</v>
      </c>
      <c r="C283" t="s">
        <v>45</v>
      </c>
      <c r="D283" t="s">
        <v>33</v>
      </c>
      <c r="E283">
        <v>3.7</v>
      </c>
      <c r="F283">
        <v>9875.5</v>
      </c>
      <c r="G283">
        <v>367.2</v>
      </c>
      <c r="H283">
        <v>9508.2999999999993</v>
      </c>
      <c r="I283" t="s">
        <v>70</v>
      </c>
      <c r="J283">
        <v>5.6</v>
      </c>
      <c r="K283">
        <v>3459.79</v>
      </c>
      <c r="L283">
        <f t="shared" si="20"/>
        <v>2669.0540540540537</v>
      </c>
      <c r="M283" s="8">
        <f t="shared" si="21"/>
        <v>3.7182927446711561E-2</v>
      </c>
      <c r="N283" s="10">
        <f t="shared" si="22"/>
        <v>53246.479999999996</v>
      </c>
      <c r="O283" s="10">
        <f t="shared" si="23"/>
        <v>49786.689999999995</v>
      </c>
      <c r="P283" s="9" t="str">
        <f t="shared" si="24"/>
        <v>OK</v>
      </c>
      <c r="Q283" s="9" t="str">
        <f>INDEX(Crops!$B$2:$B$7,MATCH(D283,Crops!$A$2:$A$7,0))</f>
        <v>Rice</v>
      </c>
      <c r="R283" s="9" t="str">
        <f>INDEX(Districts!$B$2:$B$6,MATCH(C283,Districts!$A$2:$A$6,0))</f>
        <v>Ejura</v>
      </c>
    </row>
    <row r="284" spans="1:18">
      <c r="A284" t="s">
        <v>180</v>
      </c>
      <c r="B284" s="4">
        <v>45954</v>
      </c>
      <c r="C284" t="s">
        <v>51</v>
      </c>
      <c r="D284" t="s">
        <v>31</v>
      </c>
      <c r="E284">
        <v>4.8</v>
      </c>
      <c r="F284">
        <v>6809.6</v>
      </c>
      <c r="G284">
        <v>468.6</v>
      </c>
      <c r="H284">
        <v>6341</v>
      </c>
      <c r="I284" t="s">
        <v>65</v>
      </c>
      <c r="J284">
        <v>3.3</v>
      </c>
      <c r="K284">
        <v>8266.68</v>
      </c>
      <c r="L284">
        <f t="shared" si="20"/>
        <v>1418.6666666666667</v>
      </c>
      <c r="M284" s="8">
        <f t="shared" si="21"/>
        <v>6.881461466165413E-2</v>
      </c>
      <c r="N284" s="10">
        <f t="shared" si="22"/>
        <v>20925.3</v>
      </c>
      <c r="O284" s="10">
        <f t="shared" si="23"/>
        <v>12658.619999999999</v>
      </c>
      <c r="P284" s="9" t="str">
        <f t="shared" si="24"/>
        <v>OK</v>
      </c>
      <c r="Q284" s="9" t="str">
        <f>INDEX(Crops!$B$2:$B$7,MATCH(D284,Crops!$A$2:$A$7,0))</f>
        <v>Maize</v>
      </c>
      <c r="R284" s="9" t="str">
        <f>INDEX(Districts!$B$2:$B$6,MATCH(C284,Districts!$A$2:$A$6,0))</f>
        <v>Kintampo</v>
      </c>
    </row>
    <row r="285" spans="1:18">
      <c r="A285" t="s">
        <v>197</v>
      </c>
      <c r="B285" s="4">
        <v>45981</v>
      </c>
      <c r="C285" t="s">
        <v>49</v>
      </c>
      <c r="D285" t="s">
        <v>39</v>
      </c>
      <c r="E285">
        <v>14.8</v>
      </c>
      <c r="F285">
        <v>14889.5</v>
      </c>
      <c r="G285">
        <v>765.5</v>
      </c>
      <c r="H285">
        <v>14124</v>
      </c>
      <c r="I285" t="s">
        <v>70</v>
      </c>
      <c r="J285">
        <v>4.4000000000000004</v>
      </c>
      <c r="K285">
        <v>14064.97</v>
      </c>
      <c r="L285">
        <f t="shared" si="20"/>
        <v>1006.0472972972973</v>
      </c>
      <c r="M285" s="8">
        <f t="shared" si="21"/>
        <v>5.1412068907619464E-2</v>
      </c>
      <c r="N285" s="10">
        <f t="shared" si="22"/>
        <v>62145.600000000006</v>
      </c>
      <c r="O285" s="10">
        <f t="shared" si="23"/>
        <v>48080.630000000005</v>
      </c>
      <c r="P285" s="9" t="str">
        <f t="shared" si="24"/>
        <v>OK</v>
      </c>
      <c r="Q285" s="9" t="str">
        <f>INDEX(Crops!$B$2:$B$7,MATCH(D285,Crops!$A$2:$A$7,0))</f>
        <v>Soybean</v>
      </c>
      <c r="R285" s="9" t="str">
        <f>INDEX(Districts!$B$2:$B$6,MATCH(C285,Districts!$A$2:$A$6,0))</f>
        <v>Tamale Metro</v>
      </c>
    </row>
    <row r="286" spans="1:18">
      <c r="A286" t="s">
        <v>222</v>
      </c>
      <c r="B286" s="4">
        <v>46151</v>
      </c>
      <c r="C286" t="s">
        <v>53</v>
      </c>
      <c r="D286" t="s">
        <v>37</v>
      </c>
      <c r="E286">
        <v>12.4</v>
      </c>
      <c r="F286">
        <v>77439.3</v>
      </c>
      <c r="G286">
        <v>2708.3</v>
      </c>
      <c r="H286">
        <v>74731</v>
      </c>
      <c r="I286" t="s">
        <v>77</v>
      </c>
      <c r="J286">
        <v>8.1300000000000008</v>
      </c>
      <c r="K286">
        <v>10711.17</v>
      </c>
      <c r="L286">
        <f t="shared" si="20"/>
        <v>6245.1048387096771</v>
      </c>
      <c r="M286" s="8">
        <f t="shared" si="21"/>
        <v>3.4973198363105036E-2</v>
      </c>
      <c r="N286" s="10">
        <f t="shared" si="22"/>
        <v>607563.03</v>
      </c>
      <c r="O286" s="10">
        <f t="shared" si="23"/>
        <v>596851.86</v>
      </c>
      <c r="P286" s="9" t="str">
        <f t="shared" si="24"/>
        <v>OK</v>
      </c>
      <c r="Q286" s="9" t="str">
        <f>INDEX(Crops!$B$2:$B$7,MATCH(D286,Crops!$A$2:$A$7,0))</f>
        <v>Pepper</v>
      </c>
      <c r="R286" s="9" t="str">
        <f>INDEX(Districts!$B$2:$B$6,MATCH(C286,Districts!$A$2:$A$6,0))</f>
        <v>Hohoe</v>
      </c>
    </row>
    <row r="287" spans="1:18">
      <c r="A287" t="s">
        <v>64</v>
      </c>
      <c r="B287" s="4">
        <v>45841</v>
      </c>
      <c r="C287" t="s">
        <v>49</v>
      </c>
      <c r="D287" t="s">
        <v>37</v>
      </c>
      <c r="E287">
        <v>2.1</v>
      </c>
      <c r="F287">
        <v>12707.7</v>
      </c>
      <c r="G287">
        <v>1925</v>
      </c>
      <c r="H287">
        <v>10782.7</v>
      </c>
      <c r="I287" t="s">
        <v>67</v>
      </c>
      <c r="J287">
        <v>9.6199999999999992</v>
      </c>
      <c r="K287">
        <v>3316.44</v>
      </c>
      <c r="L287">
        <f t="shared" si="20"/>
        <v>6051.2857142857147</v>
      </c>
      <c r="M287" s="8">
        <f t="shared" si="21"/>
        <v>0.15148295915075111</v>
      </c>
      <c r="N287" s="10">
        <f t="shared" si="22"/>
        <v>103729.57399999999</v>
      </c>
      <c r="O287" s="10">
        <f t="shared" si="23"/>
        <v>100413.13399999999</v>
      </c>
      <c r="P287" s="9" t="str">
        <f t="shared" si="24"/>
        <v>OK</v>
      </c>
      <c r="Q287" s="9" t="str">
        <f>INDEX(Crops!$B$2:$B$7,MATCH(D287,Crops!$A$2:$A$7,0))</f>
        <v>Pepper</v>
      </c>
      <c r="R287" s="9" t="str">
        <f>INDEX(Districts!$B$2:$B$6,MATCH(C287,Districts!$A$2:$A$6,0))</f>
        <v>Tamale Metro</v>
      </c>
    </row>
    <row r="288" spans="1:18">
      <c r="A288" t="s">
        <v>131</v>
      </c>
      <c r="B288" s="4">
        <v>46121</v>
      </c>
      <c r="C288" t="s">
        <v>53</v>
      </c>
      <c r="D288" t="s">
        <v>31</v>
      </c>
      <c r="E288">
        <v>4.4000000000000004</v>
      </c>
      <c r="F288">
        <v>6918.9</v>
      </c>
      <c r="G288">
        <v>758.5</v>
      </c>
      <c r="H288">
        <v>6160.4</v>
      </c>
      <c r="I288" t="s">
        <v>67</v>
      </c>
      <c r="J288">
        <v>3.12</v>
      </c>
      <c r="K288">
        <v>4798.46</v>
      </c>
      <c r="L288">
        <f t="shared" si="20"/>
        <v>1572.4772727272725</v>
      </c>
      <c r="M288" s="8">
        <f t="shared" si="21"/>
        <v>0.10962725288701962</v>
      </c>
      <c r="N288" s="10">
        <f t="shared" si="22"/>
        <v>19220.448</v>
      </c>
      <c r="O288" s="10">
        <f t="shared" si="23"/>
        <v>14421.988000000001</v>
      </c>
      <c r="P288" s="9" t="str">
        <f t="shared" si="24"/>
        <v>OK</v>
      </c>
      <c r="Q288" s="9" t="str">
        <f>INDEX(Crops!$B$2:$B$7,MATCH(D288,Crops!$A$2:$A$7,0))</f>
        <v>Maize</v>
      </c>
      <c r="R288" s="9" t="str">
        <f>INDEX(Districts!$B$2:$B$6,MATCH(C288,Districts!$A$2:$A$6,0))</f>
        <v>Hohoe</v>
      </c>
    </row>
    <row r="289" spans="1:18">
      <c r="A289" t="s">
        <v>223</v>
      </c>
      <c r="B289" s="4">
        <v>46026</v>
      </c>
      <c r="C289" t="s">
        <v>45</v>
      </c>
      <c r="D289" t="s">
        <v>37</v>
      </c>
      <c r="E289">
        <v>14.2</v>
      </c>
      <c r="F289">
        <v>91846.399999999994</v>
      </c>
      <c r="G289">
        <v>11703.8</v>
      </c>
      <c r="H289">
        <v>80142.600000000006</v>
      </c>
      <c r="I289" t="s">
        <v>77</v>
      </c>
      <c r="J289">
        <v>10.65</v>
      </c>
      <c r="K289">
        <v>24540.959999999999</v>
      </c>
      <c r="L289">
        <f t="shared" si="20"/>
        <v>6468.0563380281692</v>
      </c>
      <c r="M289" s="8">
        <f t="shared" si="21"/>
        <v>0.12742796669221657</v>
      </c>
      <c r="N289" s="10">
        <f t="shared" si="22"/>
        <v>853518.69000000006</v>
      </c>
      <c r="O289" s="10">
        <f t="shared" si="23"/>
        <v>828977.7300000001</v>
      </c>
      <c r="P289" s="9" t="str">
        <f t="shared" si="24"/>
        <v>OK</v>
      </c>
      <c r="Q289" s="9" t="str">
        <f>INDEX(Crops!$B$2:$B$7,MATCH(D289,Crops!$A$2:$A$7,0))</f>
        <v>Pepper</v>
      </c>
      <c r="R289" s="9" t="str">
        <f>INDEX(Districts!$B$2:$B$6,MATCH(C289,Districts!$A$2:$A$6,0))</f>
        <v>Ejura</v>
      </c>
    </row>
    <row r="290" spans="1:18">
      <c r="A290" t="s">
        <v>164</v>
      </c>
      <c r="B290" s="4">
        <v>45839</v>
      </c>
      <c r="C290" t="s">
        <v>45</v>
      </c>
      <c r="D290" t="s">
        <v>41</v>
      </c>
      <c r="E290">
        <v>5.8</v>
      </c>
      <c r="F290">
        <v>42463.5</v>
      </c>
      <c r="G290">
        <v>1609.5</v>
      </c>
      <c r="H290">
        <v>40854</v>
      </c>
      <c r="I290" t="s">
        <v>65</v>
      </c>
      <c r="J290">
        <v>2.15</v>
      </c>
      <c r="K290">
        <v>3938.92</v>
      </c>
      <c r="L290">
        <f t="shared" si="20"/>
        <v>7321.2931034482763</v>
      </c>
      <c r="M290" s="8">
        <f t="shared" si="21"/>
        <v>3.7903140344060192E-2</v>
      </c>
      <c r="N290" s="10">
        <f t="shared" si="22"/>
        <v>87836.099999999991</v>
      </c>
      <c r="O290" s="10">
        <f t="shared" si="23"/>
        <v>83897.18</v>
      </c>
      <c r="P290" s="9" t="str">
        <f t="shared" si="24"/>
        <v>OK</v>
      </c>
      <c r="Q290" s="9" t="str">
        <f>INDEX(Crops!$B$2:$B$7,MATCH(D290,Crops!$A$2:$A$7,0))</f>
        <v>Cassava</v>
      </c>
      <c r="R290" s="9" t="str">
        <f>INDEX(Districts!$B$2:$B$6,MATCH(C290,Districts!$A$2:$A$6,0))</f>
        <v>Ejura</v>
      </c>
    </row>
    <row r="291" spans="1:18">
      <c r="A291" t="s">
        <v>64</v>
      </c>
      <c r="B291" s="4">
        <v>46038</v>
      </c>
      <c r="C291" t="s">
        <v>45</v>
      </c>
      <c r="D291" t="s">
        <v>33</v>
      </c>
      <c r="E291">
        <v>3.9</v>
      </c>
      <c r="F291">
        <v>7437</v>
      </c>
      <c r="G291">
        <v>322.10000000000002</v>
      </c>
      <c r="H291">
        <v>7114.9</v>
      </c>
      <c r="I291" t="s">
        <v>77</v>
      </c>
      <c r="J291">
        <v>6.75</v>
      </c>
      <c r="K291">
        <v>2752.79</v>
      </c>
      <c r="L291">
        <f t="shared" si="20"/>
        <v>1906.9230769230769</v>
      </c>
      <c r="M291" s="8">
        <f t="shared" si="21"/>
        <v>4.3310474653758237E-2</v>
      </c>
      <c r="N291" s="10">
        <f t="shared" si="22"/>
        <v>48025.574999999997</v>
      </c>
      <c r="O291" s="10">
        <f t="shared" si="23"/>
        <v>45272.784999999996</v>
      </c>
      <c r="P291" s="9" t="str">
        <f t="shared" si="24"/>
        <v>OK</v>
      </c>
      <c r="Q291" s="9" t="str">
        <f>INDEX(Crops!$B$2:$B$7,MATCH(D291,Crops!$A$2:$A$7,0))</f>
        <v>Rice</v>
      </c>
      <c r="R291" s="9" t="str">
        <f>INDEX(Districts!$B$2:$B$6,MATCH(C291,Districts!$A$2:$A$6,0))</f>
        <v>Ejura</v>
      </c>
    </row>
    <row r="292" spans="1:18">
      <c r="A292" t="s">
        <v>147</v>
      </c>
      <c r="B292" s="4">
        <v>45858</v>
      </c>
      <c r="C292" t="s">
        <v>49</v>
      </c>
      <c r="D292" t="s">
        <v>33</v>
      </c>
      <c r="E292">
        <v>1.4</v>
      </c>
      <c r="F292">
        <v>4031.7</v>
      </c>
      <c r="G292">
        <v>552</v>
      </c>
      <c r="H292">
        <v>3479.7</v>
      </c>
      <c r="I292" t="s">
        <v>77</v>
      </c>
      <c r="J292">
        <v>6.71</v>
      </c>
      <c r="K292">
        <v>1217.6199999999999</v>
      </c>
      <c r="L292">
        <f t="shared" si="20"/>
        <v>2879.7857142857142</v>
      </c>
      <c r="M292" s="8">
        <f t="shared" si="21"/>
        <v>0.1369149490289456</v>
      </c>
      <c r="N292" s="10">
        <f t="shared" si="22"/>
        <v>23348.787</v>
      </c>
      <c r="O292" s="10">
        <f t="shared" si="23"/>
        <v>22131.167000000001</v>
      </c>
      <c r="P292" s="9" t="str">
        <f t="shared" si="24"/>
        <v>OK</v>
      </c>
      <c r="Q292" s="9" t="str">
        <f>INDEX(Crops!$B$2:$B$7,MATCH(D292,Crops!$A$2:$A$7,0))</f>
        <v>Rice</v>
      </c>
      <c r="R292" s="9" t="str">
        <f>INDEX(Districts!$B$2:$B$6,MATCH(C292,Districts!$A$2:$A$6,0))</f>
        <v>Tamale Metro</v>
      </c>
    </row>
    <row r="293" spans="1:18">
      <c r="A293" t="s">
        <v>66</v>
      </c>
      <c r="B293" s="4">
        <v>46043</v>
      </c>
      <c r="C293" t="s">
        <v>47</v>
      </c>
      <c r="D293" t="s">
        <v>41</v>
      </c>
      <c r="E293">
        <v>14.1</v>
      </c>
      <c r="F293">
        <v>68627.8</v>
      </c>
      <c r="G293">
        <v>5308.6</v>
      </c>
      <c r="H293">
        <v>63319.199999999997</v>
      </c>
      <c r="I293" t="s">
        <v>67</v>
      </c>
      <c r="J293">
        <v>2.0499999999999998</v>
      </c>
      <c r="K293">
        <v>21697.17</v>
      </c>
      <c r="L293">
        <f t="shared" si="20"/>
        <v>4867.2198581560287</v>
      </c>
      <c r="M293" s="8">
        <f t="shared" si="21"/>
        <v>7.7353492316524788E-2</v>
      </c>
      <c r="N293" s="10">
        <f t="shared" si="22"/>
        <v>129804.35999999999</v>
      </c>
      <c r="O293" s="10">
        <f t="shared" si="23"/>
        <v>108107.18999999999</v>
      </c>
      <c r="P293" s="9" t="str">
        <f t="shared" si="24"/>
        <v>OK</v>
      </c>
      <c r="Q293" s="9" t="str">
        <f>INDEX(Crops!$B$2:$B$7,MATCH(D293,Crops!$A$2:$A$7,0))</f>
        <v>Cassava</v>
      </c>
      <c r="R293" s="9" t="str">
        <f>INDEX(Districts!$B$2:$B$6,MATCH(C293,Districts!$A$2:$A$6,0))</f>
        <v>Techiman</v>
      </c>
    </row>
    <row r="294" spans="1:18">
      <c r="A294" t="s">
        <v>68</v>
      </c>
      <c r="B294" s="4">
        <v>46129</v>
      </c>
      <c r="C294" t="s">
        <v>45</v>
      </c>
      <c r="D294" t="s">
        <v>41</v>
      </c>
      <c r="E294">
        <v>5.3</v>
      </c>
      <c r="F294">
        <v>25983.200000000001</v>
      </c>
      <c r="G294">
        <v>1908.2</v>
      </c>
      <c r="H294">
        <v>24075</v>
      </c>
      <c r="I294" t="s">
        <v>65</v>
      </c>
      <c r="J294">
        <v>2.33</v>
      </c>
      <c r="K294">
        <v>9151.64</v>
      </c>
      <c r="L294">
        <f t="shared" si="20"/>
        <v>4902.4905660377362</v>
      </c>
      <c r="M294" s="8">
        <f t="shared" si="21"/>
        <v>7.3439761076387819E-2</v>
      </c>
      <c r="N294" s="10">
        <f t="shared" si="22"/>
        <v>56094.75</v>
      </c>
      <c r="O294" s="10">
        <f t="shared" si="23"/>
        <v>46943.11</v>
      </c>
      <c r="P294" s="9" t="str">
        <f t="shared" si="24"/>
        <v>OK</v>
      </c>
      <c r="Q294" s="9" t="str">
        <f>INDEX(Crops!$B$2:$B$7,MATCH(D294,Crops!$A$2:$A$7,0))</f>
        <v>Cassava</v>
      </c>
      <c r="R294" s="9" t="str">
        <f>INDEX(Districts!$B$2:$B$6,MATCH(C294,Districts!$A$2:$A$6,0))</f>
        <v>Ejura</v>
      </c>
    </row>
    <row r="295" spans="1:18">
      <c r="A295" t="s">
        <v>224</v>
      </c>
      <c r="B295" s="4">
        <v>45863</v>
      </c>
      <c r="C295" t="s">
        <v>51</v>
      </c>
      <c r="D295" t="s">
        <v>39</v>
      </c>
      <c r="E295">
        <v>12.4</v>
      </c>
      <c r="F295">
        <v>17538.5</v>
      </c>
      <c r="G295">
        <v>930.4</v>
      </c>
      <c r="H295">
        <v>16608.099999999999</v>
      </c>
      <c r="I295" t="s">
        <v>65</v>
      </c>
      <c r="J295">
        <v>4.1500000000000004</v>
      </c>
      <c r="K295">
        <v>19686.36</v>
      </c>
      <c r="L295">
        <f t="shared" si="20"/>
        <v>1414.3951612903224</v>
      </c>
      <c r="M295" s="8">
        <f t="shared" si="21"/>
        <v>5.3049006471477034E-2</v>
      </c>
      <c r="N295" s="10">
        <f t="shared" si="22"/>
        <v>68923.615000000005</v>
      </c>
      <c r="O295" s="10">
        <f t="shared" si="23"/>
        <v>49237.255000000005</v>
      </c>
      <c r="P295" s="9" t="str">
        <f t="shared" si="24"/>
        <v>OK</v>
      </c>
      <c r="Q295" s="9" t="str">
        <f>INDEX(Crops!$B$2:$B$7,MATCH(D295,Crops!$A$2:$A$7,0))</f>
        <v>Soybean</v>
      </c>
      <c r="R295" s="9" t="str">
        <f>INDEX(Districts!$B$2:$B$6,MATCH(C295,Districts!$A$2:$A$6,0))</f>
        <v>Kintampo</v>
      </c>
    </row>
    <row r="296" spans="1:18">
      <c r="A296" t="s">
        <v>95</v>
      </c>
      <c r="B296" s="4">
        <v>45995</v>
      </c>
      <c r="C296" t="s">
        <v>49</v>
      </c>
      <c r="D296" t="s">
        <v>31</v>
      </c>
      <c r="E296">
        <v>3</v>
      </c>
      <c r="F296">
        <v>6363.2</v>
      </c>
      <c r="G296">
        <v>184.7</v>
      </c>
      <c r="H296">
        <v>6178.5</v>
      </c>
      <c r="I296" t="s">
        <v>70</v>
      </c>
      <c r="J296">
        <v>3.79</v>
      </c>
      <c r="K296">
        <v>3863.41</v>
      </c>
      <c r="L296">
        <f t="shared" si="20"/>
        <v>2121.0666666666666</v>
      </c>
      <c r="M296" s="8">
        <f t="shared" si="21"/>
        <v>2.9026276087503144E-2</v>
      </c>
      <c r="N296" s="10">
        <f t="shared" si="22"/>
        <v>23416.514999999999</v>
      </c>
      <c r="O296" s="10">
        <f t="shared" si="23"/>
        <v>19553.105</v>
      </c>
      <c r="P296" s="9" t="str">
        <f t="shared" si="24"/>
        <v>OK</v>
      </c>
      <c r="Q296" s="9" t="str">
        <f>INDEX(Crops!$B$2:$B$7,MATCH(D296,Crops!$A$2:$A$7,0))</f>
        <v>Maize</v>
      </c>
      <c r="R296" s="9" t="str">
        <f>INDEX(Districts!$B$2:$B$6,MATCH(C296,Districts!$A$2:$A$6,0))</f>
        <v>Tamale Metro</v>
      </c>
    </row>
    <row r="297" spans="1:18">
      <c r="A297" t="s">
        <v>190</v>
      </c>
      <c r="B297" s="4">
        <v>46064</v>
      </c>
      <c r="C297" t="s">
        <v>47</v>
      </c>
      <c r="D297" t="s">
        <v>41</v>
      </c>
      <c r="E297">
        <v>13.4</v>
      </c>
      <c r="F297">
        <v>97385.5</v>
      </c>
      <c r="G297">
        <v>14526.3</v>
      </c>
      <c r="H297">
        <v>82859.199999999997</v>
      </c>
      <c r="I297" t="s">
        <v>67</v>
      </c>
      <c r="J297">
        <v>2.42</v>
      </c>
      <c r="K297">
        <v>18981.580000000002</v>
      </c>
      <c r="L297">
        <f t="shared" si="20"/>
        <v>7267.5746268656712</v>
      </c>
      <c r="M297" s="8">
        <f t="shared" si="21"/>
        <v>0.1491628630545615</v>
      </c>
      <c r="N297" s="10">
        <f t="shared" si="22"/>
        <v>200519.264</v>
      </c>
      <c r="O297" s="10">
        <f t="shared" si="23"/>
        <v>181537.68400000001</v>
      </c>
      <c r="P297" s="9" t="str">
        <f t="shared" si="24"/>
        <v>OK</v>
      </c>
      <c r="Q297" s="9" t="str">
        <f>INDEX(Crops!$B$2:$B$7,MATCH(D297,Crops!$A$2:$A$7,0))</f>
        <v>Cassava</v>
      </c>
      <c r="R297" s="9" t="str">
        <f>INDEX(Districts!$B$2:$B$6,MATCH(C297,Districts!$A$2:$A$6,0))</f>
        <v>Techiman</v>
      </c>
    </row>
    <row r="298" spans="1:18">
      <c r="A298" t="s">
        <v>112</v>
      </c>
      <c r="B298" s="4">
        <v>46095</v>
      </c>
      <c r="C298" t="s">
        <v>49</v>
      </c>
      <c r="D298" t="s">
        <v>39</v>
      </c>
      <c r="E298">
        <v>3.9</v>
      </c>
      <c r="F298">
        <v>6134.9</v>
      </c>
      <c r="G298">
        <v>681.2</v>
      </c>
      <c r="H298">
        <v>5453.7</v>
      </c>
      <c r="I298" t="s">
        <v>67</v>
      </c>
      <c r="J298">
        <v>4.99</v>
      </c>
      <c r="K298">
        <v>6647.42</v>
      </c>
      <c r="L298">
        <f t="shared" si="20"/>
        <v>1573.051282051282</v>
      </c>
      <c r="M298" s="8">
        <f t="shared" si="21"/>
        <v>0.11103685471645831</v>
      </c>
      <c r="N298" s="10">
        <f t="shared" si="22"/>
        <v>27213.963</v>
      </c>
      <c r="O298" s="10">
        <f t="shared" si="23"/>
        <v>20566.542999999998</v>
      </c>
      <c r="P298" s="9" t="str">
        <f t="shared" si="24"/>
        <v>OK</v>
      </c>
      <c r="Q298" s="9" t="str">
        <f>INDEX(Crops!$B$2:$B$7,MATCH(D298,Crops!$A$2:$A$7,0))</f>
        <v>Soybean</v>
      </c>
      <c r="R298" s="9" t="str">
        <f>INDEX(Districts!$B$2:$B$6,MATCH(C298,Districts!$A$2:$A$6,0))</f>
        <v>Tamale Metro</v>
      </c>
    </row>
    <row r="299" spans="1:18">
      <c r="A299" t="s">
        <v>225</v>
      </c>
      <c r="B299" s="4">
        <v>45998</v>
      </c>
      <c r="C299" t="s">
        <v>45</v>
      </c>
      <c r="D299" t="s">
        <v>41</v>
      </c>
      <c r="E299">
        <v>6.7</v>
      </c>
      <c r="F299">
        <v>41975.199999999997</v>
      </c>
      <c r="G299">
        <v>4558.1000000000004</v>
      </c>
      <c r="H299">
        <v>37417.1</v>
      </c>
      <c r="I299" t="s">
        <v>77</v>
      </c>
      <c r="J299">
        <v>2.25</v>
      </c>
      <c r="K299">
        <v>4796.8500000000004</v>
      </c>
      <c r="L299">
        <f t="shared" si="20"/>
        <v>6264.9552238805963</v>
      </c>
      <c r="M299" s="8">
        <f t="shared" si="21"/>
        <v>0.10859031046903887</v>
      </c>
      <c r="N299" s="10">
        <f t="shared" si="22"/>
        <v>84188.474999999991</v>
      </c>
      <c r="O299" s="10">
        <f t="shared" si="23"/>
        <v>79391.624999999985</v>
      </c>
      <c r="P299" s="9" t="str">
        <f t="shared" si="24"/>
        <v>OK</v>
      </c>
      <c r="Q299" s="9" t="str">
        <f>INDEX(Crops!$B$2:$B$7,MATCH(D299,Crops!$A$2:$A$7,0))</f>
        <v>Cassava</v>
      </c>
      <c r="R299" s="9" t="str">
        <f>INDEX(Districts!$B$2:$B$6,MATCH(C299,Districts!$A$2:$A$6,0))</f>
        <v>Ejura</v>
      </c>
    </row>
    <row r="300" spans="1:18">
      <c r="A300" t="s">
        <v>150</v>
      </c>
      <c r="B300" s="4">
        <v>45892</v>
      </c>
      <c r="C300" t="s">
        <v>45</v>
      </c>
      <c r="D300" t="s">
        <v>31</v>
      </c>
      <c r="E300">
        <v>11.4</v>
      </c>
      <c r="F300">
        <v>13756.2</v>
      </c>
      <c r="G300">
        <v>1207.5999999999999</v>
      </c>
      <c r="H300">
        <v>12548.6</v>
      </c>
      <c r="I300" t="s">
        <v>65</v>
      </c>
      <c r="J300">
        <v>3.2</v>
      </c>
      <c r="K300">
        <v>18516.900000000001</v>
      </c>
      <c r="L300">
        <f t="shared" si="20"/>
        <v>1206.6842105263158</v>
      </c>
      <c r="M300" s="8">
        <f t="shared" si="21"/>
        <v>8.7785871098123011E-2</v>
      </c>
      <c r="N300" s="10">
        <f t="shared" si="22"/>
        <v>40155.520000000004</v>
      </c>
      <c r="O300" s="10">
        <f t="shared" si="23"/>
        <v>21638.620000000003</v>
      </c>
      <c r="P300" s="9" t="str">
        <f t="shared" si="24"/>
        <v>OK</v>
      </c>
      <c r="Q300" s="9" t="str">
        <f>INDEX(Crops!$B$2:$B$7,MATCH(D300,Crops!$A$2:$A$7,0))</f>
        <v>Maize</v>
      </c>
      <c r="R300" s="9" t="str">
        <f>INDEX(Districts!$B$2:$B$6,MATCH(C300,Districts!$A$2:$A$6,0))</f>
        <v>Ejura</v>
      </c>
    </row>
    <row r="301" spans="1:18">
      <c r="A301" t="s">
        <v>161</v>
      </c>
      <c r="B301" s="4">
        <v>45916</v>
      </c>
      <c r="C301" t="s">
        <v>45</v>
      </c>
      <c r="D301" t="s">
        <v>33</v>
      </c>
      <c r="E301">
        <v>5.2</v>
      </c>
      <c r="F301">
        <v>12301.1</v>
      </c>
      <c r="G301">
        <v>607.79999999999995</v>
      </c>
      <c r="H301">
        <v>11693.3</v>
      </c>
      <c r="I301" t="s">
        <v>70</v>
      </c>
      <c r="J301">
        <v>5.7</v>
      </c>
      <c r="K301">
        <v>7817.51</v>
      </c>
      <c r="L301">
        <f t="shared" si="20"/>
        <v>2365.5961538461538</v>
      </c>
      <c r="M301" s="8">
        <f t="shared" si="21"/>
        <v>4.9410215346595017E-2</v>
      </c>
      <c r="N301" s="10">
        <f t="shared" si="22"/>
        <v>66651.81</v>
      </c>
      <c r="O301" s="10">
        <f t="shared" si="23"/>
        <v>58834.299999999996</v>
      </c>
      <c r="P301" s="9" t="str">
        <f t="shared" si="24"/>
        <v>OK</v>
      </c>
      <c r="Q301" s="9" t="str">
        <f>INDEX(Crops!$B$2:$B$7,MATCH(D301,Crops!$A$2:$A$7,0))</f>
        <v>Rice</v>
      </c>
      <c r="R301" s="9" t="str">
        <f>INDEX(Districts!$B$2:$B$6,MATCH(C301,Districts!$A$2:$A$6,0))</f>
        <v>Ejura</v>
      </c>
    </row>
    <row r="302" spans="1:18">
      <c r="A302" t="s">
        <v>181</v>
      </c>
      <c r="B302" s="4">
        <v>46149</v>
      </c>
      <c r="C302" t="s">
        <v>53</v>
      </c>
      <c r="D302" t="s">
        <v>39</v>
      </c>
      <c r="E302">
        <v>13.9</v>
      </c>
      <c r="F302">
        <v>14758.2</v>
      </c>
      <c r="G302">
        <v>2200.4</v>
      </c>
      <c r="H302">
        <v>12557.8</v>
      </c>
      <c r="I302" t="s">
        <v>65</v>
      </c>
      <c r="J302">
        <v>4.5999999999999996</v>
      </c>
      <c r="K302">
        <v>9283.68</v>
      </c>
      <c r="L302">
        <f t="shared" si="20"/>
        <v>1061.7410071942447</v>
      </c>
      <c r="M302" s="8">
        <f t="shared" si="21"/>
        <v>0.14909677331923948</v>
      </c>
      <c r="N302" s="10">
        <f t="shared" si="22"/>
        <v>57765.87999999999</v>
      </c>
      <c r="O302" s="10">
        <f t="shared" si="23"/>
        <v>48482.19999999999</v>
      </c>
      <c r="P302" s="9" t="str">
        <f t="shared" si="24"/>
        <v>OK</v>
      </c>
      <c r="Q302" s="9" t="str">
        <f>INDEX(Crops!$B$2:$B$7,MATCH(D302,Crops!$A$2:$A$7,0))</f>
        <v>Soybean</v>
      </c>
      <c r="R302" s="9" t="str">
        <f>INDEX(Districts!$B$2:$B$6,MATCH(C302,Districts!$A$2:$A$6,0))</f>
        <v>Hohoe</v>
      </c>
    </row>
    <row r="303" spans="1:18">
      <c r="A303" t="s">
        <v>197</v>
      </c>
      <c r="B303" s="4">
        <v>46091</v>
      </c>
      <c r="C303" t="s">
        <v>47</v>
      </c>
      <c r="D303" t="s">
        <v>33</v>
      </c>
      <c r="E303">
        <v>6.4</v>
      </c>
      <c r="F303">
        <v>16326.8</v>
      </c>
      <c r="G303">
        <v>1014.3</v>
      </c>
      <c r="H303">
        <v>15312.5</v>
      </c>
      <c r="I303" t="s">
        <v>65</v>
      </c>
      <c r="J303">
        <v>5.12</v>
      </c>
      <c r="K303">
        <v>5285.59</v>
      </c>
      <c r="L303">
        <f t="shared" si="20"/>
        <v>2551.0624999999995</v>
      </c>
      <c r="M303" s="8">
        <f t="shared" si="21"/>
        <v>6.2124849939975989E-2</v>
      </c>
      <c r="N303" s="10">
        <f t="shared" si="22"/>
        <v>78400</v>
      </c>
      <c r="O303" s="10">
        <f t="shared" si="23"/>
        <v>73114.41</v>
      </c>
      <c r="P303" s="9" t="str">
        <f t="shared" si="24"/>
        <v>OK</v>
      </c>
      <c r="Q303" s="9" t="str">
        <f>INDEX(Crops!$B$2:$B$7,MATCH(D303,Crops!$A$2:$A$7,0))</f>
        <v>Rice</v>
      </c>
      <c r="R303" s="9" t="str">
        <f>INDEX(Districts!$B$2:$B$6,MATCH(C303,Districts!$A$2:$A$6,0))</f>
        <v>Techiman</v>
      </c>
    </row>
    <row r="304" spans="1:18">
      <c r="A304" t="s">
        <v>226</v>
      </c>
      <c r="B304" s="4">
        <v>45986</v>
      </c>
      <c r="C304" t="s">
        <v>53</v>
      </c>
      <c r="D304" t="s">
        <v>33</v>
      </c>
      <c r="E304">
        <v>10.8</v>
      </c>
      <c r="F304">
        <v>31141.200000000001</v>
      </c>
      <c r="G304">
        <v>3192.8</v>
      </c>
      <c r="H304">
        <v>27948.400000000001</v>
      </c>
      <c r="I304" t="s">
        <v>77</v>
      </c>
      <c r="J304">
        <v>6.85</v>
      </c>
      <c r="K304">
        <v>8241.7900000000009</v>
      </c>
      <c r="L304">
        <f t="shared" si="20"/>
        <v>2883.4444444444443</v>
      </c>
      <c r="M304" s="8">
        <f t="shared" si="21"/>
        <v>0.10252655645896755</v>
      </c>
      <c r="N304" s="10">
        <f t="shared" si="22"/>
        <v>191446.54</v>
      </c>
      <c r="O304" s="10">
        <f t="shared" si="23"/>
        <v>183204.75</v>
      </c>
      <c r="P304" s="9" t="str">
        <f t="shared" si="24"/>
        <v>OK</v>
      </c>
      <c r="Q304" s="9" t="str">
        <f>INDEX(Crops!$B$2:$B$7,MATCH(D304,Crops!$A$2:$A$7,0))</f>
        <v>Rice</v>
      </c>
      <c r="R304" s="9" t="str">
        <f>INDEX(Districts!$B$2:$B$6,MATCH(C304,Districts!$A$2:$A$6,0))</f>
        <v>Hohoe</v>
      </c>
    </row>
    <row r="305" spans="1:18">
      <c r="A305" t="s">
        <v>102</v>
      </c>
      <c r="B305" s="4">
        <v>45923</v>
      </c>
      <c r="C305" t="s">
        <v>49</v>
      </c>
      <c r="D305" t="s">
        <v>39</v>
      </c>
      <c r="E305">
        <v>5.2</v>
      </c>
      <c r="F305">
        <v>9882.5</v>
      </c>
      <c r="G305">
        <v>1543.7</v>
      </c>
      <c r="H305">
        <v>8338.7999999999993</v>
      </c>
      <c r="I305" t="s">
        <v>70</v>
      </c>
      <c r="J305">
        <v>4.09</v>
      </c>
      <c r="K305">
        <v>8210.2199999999993</v>
      </c>
      <c r="L305">
        <f t="shared" si="20"/>
        <v>1900.4807692307691</v>
      </c>
      <c r="M305" s="8">
        <f t="shared" si="21"/>
        <v>0.15620541360991652</v>
      </c>
      <c r="N305" s="10">
        <f t="shared" si="22"/>
        <v>34105.691999999995</v>
      </c>
      <c r="O305" s="10">
        <f t="shared" si="23"/>
        <v>25895.471999999994</v>
      </c>
      <c r="P305" s="9" t="str">
        <f t="shared" si="24"/>
        <v>OK</v>
      </c>
      <c r="Q305" s="9" t="str">
        <f>INDEX(Crops!$B$2:$B$7,MATCH(D305,Crops!$A$2:$A$7,0))</f>
        <v>Soybean</v>
      </c>
      <c r="R305" s="9" t="str">
        <f>INDEX(Districts!$B$2:$B$6,MATCH(C305,Districts!$A$2:$A$6,0))</f>
        <v>Tamale Metro</v>
      </c>
    </row>
    <row r="306" spans="1:18">
      <c r="A306" t="s">
        <v>123</v>
      </c>
      <c r="B306" s="4">
        <v>45842</v>
      </c>
      <c r="C306" t="s">
        <v>45</v>
      </c>
      <c r="D306" t="s">
        <v>33</v>
      </c>
      <c r="E306">
        <v>9.6999999999999993</v>
      </c>
      <c r="F306">
        <v>17620.599999999999</v>
      </c>
      <c r="G306">
        <v>872.3</v>
      </c>
      <c r="H306">
        <v>16748.3</v>
      </c>
      <c r="I306" t="s">
        <v>67</v>
      </c>
      <c r="J306">
        <v>4.9400000000000004</v>
      </c>
      <c r="K306">
        <v>10026.44</v>
      </c>
      <c r="L306">
        <f t="shared" si="20"/>
        <v>1816.5567010309278</v>
      </c>
      <c r="M306" s="8">
        <f t="shared" si="21"/>
        <v>4.9504557166044294E-2</v>
      </c>
      <c r="N306" s="10">
        <f t="shared" si="22"/>
        <v>82736.601999999999</v>
      </c>
      <c r="O306" s="10">
        <f t="shared" si="23"/>
        <v>72710.161999999997</v>
      </c>
      <c r="P306" s="9" t="str">
        <f t="shared" si="24"/>
        <v>OK</v>
      </c>
      <c r="Q306" s="9" t="str">
        <f>INDEX(Crops!$B$2:$B$7,MATCH(D306,Crops!$A$2:$A$7,0))</f>
        <v>Rice</v>
      </c>
      <c r="R306" s="9" t="str">
        <f>INDEX(Districts!$B$2:$B$6,MATCH(C306,Districts!$A$2:$A$6,0))</f>
        <v>Ejura</v>
      </c>
    </row>
    <row r="307" spans="1:18">
      <c r="A307" t="s">
        <v>161</v>
      </c>
      <c r="B307" s="4">
        <v>45953</v>
      </c>
      <c r="C307" t="s">
        <v>45</v>
      </c>
      <c r="D307" t="s">
        <v>41</v>
      </c>
      <c r="E307">
        <v>14</v>
      </c>
      <c r="F307">
        <v>71262.899999999994</v>
      </c>
      <c r="G307">
        <v>11224.2</v>
      </c>
      <c r="H307">
        <v>60038.7</v>
      </c>
      <c r="I307" t="s">
        <v>65</v>
      </c>
      <c r="J307">
        <v>2.0699999999999998</v>
      </c>
      <c r="K307">
        <v>9252.9599999999991</v>
      </c>
      <c r="L307">
        <f t="shared" si="20"/>
        <v>5090.2071428571426</v>
      </c>
      <c r="M307" s="8">
        <f t="shared" si="21"/>
        <v>0.1575041150444341</v>
      </c>
      <c r="N307" s="10">
        <f t="shared" si="22"/>
        <v>124280.10899999998</v>
      </c>
      <c r="O307" s="10">
        <f t="shared" si="23"/>
        <v>115027.14899999998</v>
      </c>
      <c r="P307" s="9" t="str">
        <f t="shared" si="24"/>
        <v>OK</v>
      </c>
      <c r="Q307" s="9" t="str">
        <f>INDEX(Crops!$B$2:$B$7,MATCH(D307,Crops!$A$2:$A$7,0))</f>
        <v>Cassava</v>
      </c>
      <c r="R307" s="9" t="str">
        <f>INDEX(Districts!$B$2:$B$6,MATCH(C307,Districts!$A$2:$A$6,0))</f>
        <v>Ejura</v>
      </c>
    </row>
    <row r="308" spans="1:18">
      <c r="A308" t="s">
        <v>134</v>
      </c>
      <c r="B308" s="4">
        <v>46040</v>
      </c>
      <c r="C308" t="s">
        <v>49</v>
      </c>
      <c r="D308" t="s">
        <v>33</v>
      </c>
      <c r="E308">
        <v>12.6</v>
      </c>
      <c r="F308">
        <v>35995.599999999999</v>
      </c>
      <c r="G308">
        <v>4587.8</v>
      </c>
      <c r="H308">
        <v>31407.8</v>
      </c>
      <c r="I308" t="s">
        <v>67</v>
      </c>
      <c r="J308">
        <v>6.68</v>
      </c>
      <c r="K308">
        <v>10403.98</v>
      </c>
      <c r="L308">
        <f t="shared" si="20"/>
        <v>2856.7936507936506</v>
      </c>
      <c r="M308" s="8">
        <f t="shared" si="21"/>
        <v>0.12745446665703586</v>
      </c>
      <c r="N308" s="10">
        <f t="shared" si="22"/>
        <v>209804.10399999999</v>
      </c>
      <c r="O308" s="10">
        <f t="shared" si="23"/>
        <v>199400.12399999998</v>
      </c>
      <c r="P308" s="9" t="str">
        <f t="shared" si="24"/>
        <v>OK</v>
      </c>
      <c r="Q308" s="9" t="str">
        <f>INDEX(Crops!$B$2:$B$7,MATCH(D308,Crops!$A$2:$A$7,0))</f>
        <v>Rice</v>
      </c>
      <c r="R308" s="9" t="str">
        <f>INDEX(Districts!$B$2:$B$6,MATCH(C308,Districts!$A$2:$A$6,0))</f>
        <v>Tamale Metro</v>
      </c>
    </row>
    <row r="309" spans="1:18">
      <c r="A309" t="s">
        <v>227</v>
      </c>
      <c r="B309" s="4">
        <v>45851</v>
      </c>
      <c r="C309" t="s">
        <v>51</v>
      </c>
      <c r="D309" t="s">
        <v>33</v>
      </c>
      <c r="E309">
        <v>4.5999999999999996</v>
      </c>
      <c r="F309">
        <v>7035.3</v>
      </c>
      <c r="G309">
        <v>301.39999999999998</v>
      </c>
      <c r="H309">
        <v>6733.9</v>
      </c>
      <c r="I309" t="s">
        <v>65</v>
      </c>
      <c r="J309">
        <v>5.63</v>
      </c>
      <c r="K309">
        <v>6113.12</v>
      </c>
      <c r="L309">
        <f t="shared" si="20"/>
        <v>1529.413043478261</v>
      </c>
      <c r="M309" s="8">
        <f t="shared" si="21"/>
        <v>4.2841101303426998E-2</v>
      </c>
      <c r="N309" s="10">
        <f t="shared" si="22"/>
        <v>37911.856999999996</v>
      </c>
      <c r="O309" s="10">
        <f t="shared" si="23"/>
        <v>31798.736999999997</v>
      </c>
      <c r="P309" s="9" t="str">
        <f t="shared" si="24"/>
        <v>OK</v>
      </c>
      <c r="Q309" s="9" t="str">
        <f>INDEX(Crops!$B$2:$B$7,MATCH(D309,Crops!$A$2:$A$7,0))</f>
        <v>Rice</v>
      </c>
      <c r="R309" s="9" t="str">
        <f>INDEX(Districts!$B$2:$B$6,MATCH(C309,Districts!$A$2:$A$6,0))</f>
        <v>Kintampo</v>
      </c>
    </row>
    <row r="310" spans="1:18">
      <c r="A310" t="s">
        <v>187</v>
      </c>
      <c r="B310" s="4">
        <v>46039</v>
      </c>
      <c r="C310" t="s">
        <v>45</v>
      </c>
      <c r="D310" t="s">
        <v>35</v>
      </c>
      <c r="E310">
        <v>13.3</v>
      </c>
      <c r="F310">
        <v>77046.899999999994</v>
      </c>
      <c r="G310">
        <v>8527</v>
      </c>
      <c r="H310">
        <v>68519.899999999994</v>
      </c>
      <c r="I310" t="s">
        <v>77</v>
      </c>
      <c r="J310">
        <v>6.79</v>
      </c>
      <c r="K310">
        <v>21295.08</v>
      </c>
      <c r="L310">
        <f t="shared" si="20"/>
        <v>5792.9999999999991</v>
      </c>
      <c r="M310" s="8">
        <f t="shared" si="21"/>
        <v>0.11067284991349426</v>
      </c>
      <c r="N310" s="10">
        <f t="shared" si="22"/>
        <v>465250.12099999998</v>
      </c>
      <c r="O310" s="10">
        <f t="shared" si="23"/>
        <v>443955.04099999997</v>
      </c>
      <c r="P310" s="9" t="str">
        <f t="shared" si="24"/>
        <v>OK</v>
      </c>
      <c r="Q310" s="9" t="str">
        <f>INDEX(Crops!$B$2:$B$7,MATCH(D310,Crops!$A$2:$A$7,0))</f>
        <v>Tomato</v>
      </c>
      <c r="R310" s="9" t="str">
        <f>INDEX(Districts!$B$2:$B$6,MATCH(C310,Districts!$A$2:$A$6,0))</f>
        <v>Ejura</v>
      </c>
    </row>
    <row r="311" spans="1:18">
      <c r="A311" t="s">
        <v>106</v>
      </c>
      <c r="B311" s="4">
        <v>46102</v>
      </c>
      <c r="C311" t="s">
        <v>51</v>
      </c>
      <c r="D311" t="s">
        <v>37</v>
      </c>
      <c r="E311">
        <v>2.7</v>
      </c>
      <c r="F311">
        <v>11797.8</v>
      </c>
      <c r="G311">
        <v>634.5</v>
      </c>
      <c r="H311">
        <v>11163.3</v>
      </c>
      <c r="I311" t="s">
        <v>77</v>
      </c>
      <c r="J311">
        <v>9.2200000000000006</v>
      </c>
      <c r="K311">
        <v>3674.38</v>
      </c>
      <c r="L311">
        <f t="shared" si="20"/>
        <v>4369.5555555555547</v>
      </c>
      <c r="M311" s="8">
        <f t="shared" si="21"/>
        <v>5.3781213446574785E-2</v>
      </c>
      <c r="N311" s="10">
        <f t="shared" si="22"/>
        <v>102925.626</v>
      </c>
      <c r="O311" s="10">
        <f t="shared" si="23"/>
        <v>99251.245999999999</v>
      </c>
      <c r="P311" s="9" t="str">
        <f t="shared" si="24"/>
        <v>OK</v>
      </c>
      <c r="Q311" s="9" t="str">
        <f>INDEX(Crops!$B$2:$B$7,MATCH(D311,Crops!$A$2:$A$7,0))</f>
        <v>Pepper</v>
      </c>
      <c r="R311" s="9" t="str">
        <f>INDEX(Districts!$B$2:$B$6,MATCH(C311,Districts!$A$2:$A$6,0))</f>
        <v>Kintampo</v>
      </c>
    </row>
    <row r="312" spans="1:18">
      <c r="A312" t="s">
        <v>121</v>
      </c>
      <c r="B312" s="4">
        <v>46029</v>
      </c>
      <c r="C312" t="s">
        <v>47</v>
      </c>
      <c r="D312" t="s">
        <v>41</v>
      </c>
      <c r="E312">
        <v>1.2</v>
      </c>
      <c r="F312">
        <v>8191.2</v>
      </c>
      <c r="G312">
        <v>247.1</v>
      </c>
      <c r="H312">
        <v>7944.1</v>
      </c>
      <c r="I312" t="s">
        <v>77</v>
      </c>
      <c r="J312">
        <v>2.78</v>
      </c>
      <c r="K312">
        <v>783.76</v>
      </c>
      <c r="L312">
        <f t="shared" si="20"/>
        <v>6826</v>
      </c>
      <c r="M312" s="8">
        <f t="shared" si="21"/>
        <v>3.0166520167985156E-2</v>
      </c>
      <c r="N312" s="10">
        <f t="shared" si="22"/>
        <v>22084.597999999998</v>
      </c>
      <c r="O312" s="10">
        <f t="shared" si="23"/>
        <v>21300.838</v>
      </c>
      <c r="P312" s="9" t="str">
        <f t="shared" si="24"/>
        <v>OK</v>
      </c>
      <c r="Q312" s="9" t="str">
        <f>INDEX(Crops!$B$2:$B$7,MATCH(D312,Crops!$A$2:$A$7,0))</f>
        <v>Cassava</v>
      </c>
      <c r="R312" s="9" t="str">
        <f>INDEX(Districts!$B$2:$B$6,MATCH(C312,Districts!$A$2:$A$6,0))</f>
        <v>Techiman</v>
      </c>
    </row>
    <row r="313" spans="1:18">
      <c r="A313" t="s">
        <v>192</v>
      </c>
      <c r="B313" s="4">
        <v>45938</v>
      </c>
      <c r="C313" t="s">
        <v>47</v>
      </c>
      <c r="D313" t="s">
        <v>35</v>
      </c>
      <c r="E313">
        <v>2.7</v>
      </c>
      <c r="F313">
        <v>19793.3</v>
      </c>
      <c r="G313">
        <v>2336</v>
      </c>
      <c r="H313">
        <v>17457.3</v>
      </c>
      <c r="I313" t="s">
        <v>67</v>
      </c>
      <c r="J313">
        <v>5.93</v>
      </c>
      <c r="K313">
        <v>3545.42</v>
      </c>
      <c r="L313">
        <f t="shared" si="20"/>
        <v>7330.8518518518513</v>
      </c>
      <c r="M313" s="8">
        <f t="shared" si="21"/>
        <v>0.11801973395037715</v>
      </c>
      <c r="N313" s="10">
        <f t="shared" si="22"/>
        <v>103521.78899999999</v>
      </c>
      <c r="O313" s="10">
        <f t="shared" si="23"/>
        <v>99976.368999999992</v>
      </c>
      <c r="P313" s="9" t="str">
        <f t="shared" si="24"/>
        <v>OK</v>
      </c>
      <c r="Q313" s="9" t="str">
        <f>INDEX(Crops!$B$2:$B$7,MATCH(D313,Crops!$A$2:$A$7,0))</f>
        <v>Tomato</v>
      </c>
      <c r="R313" s="9" t="str">
        <f>INDEX(Districts!$B$2:$B$6,MATCH(C313,Districts!$A$2:$A$6,0))</f>
        <v>Techiman</v>
      </c>
    </row>
    <row r="314" spans="1:18">
      <c r="A314" t="s">
        <v>228</v>
      </c>
      <c r="B314" s="4">
        <v>46183</v>
      </c>
      <c r="C314" t="s">
        <v>45</v>
      </c>
      <c r="D314" t="s">
        <v>33</v>
      </c>
      <c r="E314">
        <v>6.4</v>
      </c>
      <c r="F314">
        <v>12884.4</v>
      </c>
      <c r="G314">
        <v>1398.4</v>
      </c>
      <c r="H314">
        <v>11486</v>
      </c>
      <c r="I314" t="s">
        <v>70</v>
      </c>
      <c r="J314">
        <v>6.47</v>
      </c>
      <c r="K314">
        <v>10052.33</v>
      </c>
      <c r="L314">
        <f t="shared" si="20"/>
        <v>2013.1874999999998</v>
      </c>
      <c r="M314" s="8">
        <f t="shared" si="21"/>
        <v>0.10853435161901215</v>
      </c>
      <c r="N314" s="10">
        <f t="shared" si="22"/>
        <v>74314.42</v>
      </c>
      <c r="O314" s="10">
        <f t="shared" si="23"/>
        <v>64262.09</v>
      </c>
      <c r="P314" s="9" t="str">
        <f t="shared" si="24"/>
        <v>OK</v>
      </c>
      <c r="Q314" s="9" t="str">
        <f>INDEX(Crops!$B$2:$B$7,MATCH(D314,Crops!$A$2:$A$7,0))</f>
        <v>Rice</v>
      </c>
      <c r="R314" s="9" t="str">
        <f>INDEX(Districts!$B$2:$B$6,MATCH(C314,Districts!$A$2:$A$6,0))</f>
        <v>Ejura</v>
      </c>
    </row>
    <row r="315" spans="1:18">
      <c r="A315" t="s">
        <v>82</v>
      </c>
      <c r="B315" s="4">
        <v>46036</v>
      </c>
      <c r="C315" t="s">
        <v>47</v>
      </c>
      <c r="D315" t="s">
        <v>41</v>
      </c>
      <c r="E315">
        <v>1.8</v>
      </c>
      <c r="F315">
        <v>11125.8</v>
      </c>
      <c r="G315">
        <v>234</v>
      </c>
      <c r="H315">
        <v>10891.8</v>
      </c>
      <c r="I315" t="s">
        <v>70</v>
      </c>
      <c r="J315">
        <v>2.56</v>
      </c>
      <c r="K315">
        <v>1599.19</v>
      </c>
      <c r="L315">
        <f t="shared" si="20"/>
        <v>6180.9999999999991</v>
      </c>
      <c r="M315" s="8">
        <f t="shared" si="21"/>
        <v>2.1032195437631452E-2</v>
      </c>
      <c r="N315" s="10">
        <f t="shared" si="22"/>
        <v>27883.007999999998</v>
      </c>
      <c r="O315" s="10">
        <f t="shared" si="23"/>
        <v>26283.817999999999</v>
      </c>
      <c r="P315" s="9" t="str">
        <f t="shared" si="24"/>
        <v>OK</v>
      </c>
      <c r="Q315" s="9" t="str">
        <f>INDEX(Crops!$B$2:$B$7,MATCH(D315,Crops!$A$2:$A$7,0))</f>
        <v>Cassava</v>
      </c>
      <c r="R315" s="9" t="str">
        <f>INDEX(Districts!$B$2:$B$6,MATCH(C315,Districts!$A$2:$A$6,0))</f>
        <v>Techiman</v>
      </c>
    </row>
    <row r="316" spans="1:18">
      <c r="A316" t="s">
        <v>157</v>
      </c>
      <c r="B316" s="4">
        <v>46117</v>
      </c>
      <c r="C316" t="s">
        <v>47</v>
      </c>
      <c r="D316" t="s">
        <v>35</v>
      </c>
      <c r="E316">
        <v>13.5</v>
      </c>
      <c r="F316">
        <v>102939.9</v>
      </c>
      <c r="G316">
        <v>8834.1</v>
      </c>
      <c r="H316">
        <v>94105.8</v>
      </c>
      <c r="I316" t="s">
        <v>65</v>
      </c>
      <c r="J316">
        <v>6.79</v>
      </c>
      <c r="K316">
        <v>21610.59</v>
      </c>
      <c r="L316">
        <f t="shared" si="20"/>
        <v>7625.177777777777</v>
      </c>
      <c r="M316" s="8">
        <f t="shared" si="21"/>
        <v>8.5818035572212528E-2</v>
      </c>
      <c r="N316" s="10">
        <f t="shared" si="22"/>
        <v>638978.38199999998</v>
      </c>
      <c r="O316" s="10">
        <f t="shared" si="23"/>
        <v>617367.79200000002</v>
      </c>
      <c r="P316" s="9" t="str">
        <f t="shared" si="24"/>
        <v>OK</v>
      </c>
      <c r="Q316" s="9" t="str">
        <f>INDEX(Crops!$B$2:$B$7,MATCH(D316,Crops!$A$2:$A$7,0))</f>
        <v>Tomato</v>
      </c>
      <c r="R316" s="9" t="str">
        <f>INDEX(Districts!$B$2:$B$6,MATCH(C316,Districts!$A$2:$A$6,0))</f>
        <v>Techiman</v>
      </c>
    </row>
    <row r="317" spans="1:18">
      <c r="A317" t="s">
        <v>194</v>
      </c>
      <c r="B317" s="4">
        <v>46029</v>
      </c>
      <c r="C317" t="s">
        <v>51</v>
      </c>
      <c r="D317" t="s">
        <v>33</v>
      </c>
      <c r="E317">
        <v>9.8000000000000007</v>
      </c>
      <c r="F317">
        <v>28970.7</v>
      </c>
      <c r="G317">
        <v>2525.4</v>
      </c>
      <c r="H317">
        <v>26445.3</v>
      </c>
      <c r="I317" t="s">
        <v>70</v>
      </c>
      <c r="J317">
        <v>5.5</v>
      </c>
      <c r="K317">
        <v>12132.66</v>
      </c>
      <c r="L317">
        <f t="shared" si="20"/>
        <v>2956.1938775510203</v>
      </c>
      <c r="M317" s="8">
        <f t="shared" si="21"/>
        <v>8.7170831219128289E-2</v>
      </c>
      <c r="N317" s="10">
        <f t="shared" si="22"/>
        <v>145449.15</v>
      </c>
      <c r="O317" s="10">
        <f t="shared" si="23"/>
        <v>133316.49</v>
      </c>
      <c r="P317" s="9" t="str">
        <f t="shared" si="24"/>
        <v>OK</v>
      </c>
      <c r="Q317" s="9" t="str">
        <f>INDEX(Crops!$B$2:$B$7,MATCH(D317,Crops!$A$2:$A$7,0))</f>
        <v>Rice</v>
      </c>
      <c r="R317" s="9" t="str">
        <f>INDEX(Districts!$B$2:$B$6,MATCH(C317,Districts!$A$2:$A$6,0))</f>
        <v>Kintampo</v>
      </c>
    </row>
    <row r="318" spans="1:18">
      <c r="A318" t="s">
        <v>139</v>
      </c>
      <c r="B318" s="4">
        <v>45989</v>
      </c>
      <c r="C318" t="s">
        <v>45</v>
      </c>
      <c r="D318" t="s">
        <v>37</v>
      </c>
      <c r="E318">
        <v>12.6</v>
      </c>
      <c r="F318">
        <v>63440.4</v>
      </c>
      <c r="G318">
        <v>6216.9</v>
      </c>
      <c r="H318">
        <v>57223.5</v>
      </c>
      <c r="I318" t="s">
        <v>70</v>
      </c>
      <c r="J318">
        <v>8.44</v>
      </c>
      <c r="K318">
        <v>17211.47</v>
      </c>
      <c r="L318">
        <f t="shared" si="20"/>
        <v>5034.9523809523816</v>
      </c>
      <c r="M318" s="8">
        <f t="shared" si="21"/>
        <v>9.7995914275445919E-2</v>
      </c>
      <c r="N318" s="10">
        <f t="shared" si="22"/>
        <v>482966.33999999997</v>
      </c>
      <c r="O318" s="10">
        <f t="shared" si="23"/>
        <v>465754.87</v>
      </c>
      <c r="P318" s="9" t="str">
        <f t="shared" si="24"/>
        <v>OK</v>
      </c>
      <c r="Q318" s="9" t="str">
        <f>INDEX(Crops!$B$2:$B$7,MATCH(D318,Crops!$A$2:$A$7,0))</f>
        <v>Pepper</v>
      </c>
      <c r="R318" s="9" t="str">
        <f>INDEX(Districts!$B$2:$B$6,MATCH(C318,Districts!$A$2:$A$6,0))</f>
        <v>Ejura</v>
      </c>
    </row>
    <row r="319" spans="1:18">
      <c r="A319" t="s">
        <v>229</v>
      </c>
      <c r="B319" s="4">
        <v>46184</v>
      </c>
      <c r="C319" t="s">
        <v>47</v>
      </c>
      <c r="D319" t="s">
        <v>41</v>
      </c>
      <c r="E319">
        <v>1.5</v>
      </c>
      <c r="F319">
        <v>7830.6</v>
      </c>
      <c r="G319">
        <v>990.7</v>
      </c>
      <c r="H319">
        <v>6839.9</v>
      </c>
      <c r="I319" t="s">
        <v>142</v>
      </c>
      <c r="J319">
        <v>2.06</v>
      </c>
      <c r="K319">
        <v>1859.24</v>
      </c>
      <c r="L319">
        <f t="shared" si="20"/>
        <v>5220.4000000000005</v>
      </c>
      <c r="M319" s="8">
        <f t="shared" si="21"/>
        <v>0.12651648660383624</v>
      </c>
      <c r="N319" s="10">
        <f t="shared" si="22"/>
        <v>14090.194</v>
      </c>
      <c r="O319" s="10">
        <f t="shared" si="23"/>
        <v>12230.954</v>
      </c>
      <c r="P319" s="9" t="str">
        <f t="shared" si="24"/>
        <v>OK</v>
      </c>
      <c r="Q319" s="9" t="str">
        <f>INDEX(Crops!$B$2:$B$7,MATCH(D319,Crops!$A$2:$A$7,0))</f>
        <v>Cassava</v>
      </c>
      <c r="R319" s="9" t="str">
        <f>INDEX(Districts!$B$2:$B$6,MATCH(C319,Districts!$A$2:$A$6,0))</f>
        <v>Techiman</v>
      </c>
    </row>
    <row r="320" spans="1:18">
      <c r="A320" t="s">
        <v>150</v>
      </c>
      <c r="B320" s="4">
        <v>46200</v>
      </c>
      <c r="C320" t="s">
        <v>45</v>
      </c>
      <c r="D320" t="s">
        <v>41</v>
      </c>
      <c r="E320">
        <v>7.8</v>
      </c>
      <c r="F320">
        <v>55993.4</v>
      </c>
      <c r="G320">
        <v>5829</v>
      </c>
      <c r="H320">
        <v>50164.4</v>
      </c>
      <c r="I320" t="s">
        <v>77</v>
      </c>
      <c r="J320">
        <v>2.74</v>
      </c>
      <c r="K320">
        <v>10080.73</v>
      </c>
      <c r="L320">
        <f t="shared" si="20"/>
        <v>7178.6410256410263</v>
      </c>
      <c r="M320" s="8">
        <f t="shared" si="21"/>
        <v>0.1041015548261045</v>
      </c>
      <c r="N320" s="10">
        <f t="shared" si="22"/>
        <v>137450.45600000001</v>
      </c>
      <c r="O320" s="10">
        <f t="shared" si="23"/>
        <v>127369.72600000001</v>
      </c>
      <c r="P320" s="9" t="str">
        <f t="shared" si="24"/>
        <v>OK</v>
      </c>
      <c r="Q320" s="9" t="str">
        <f>INDEX(Crops!$B$2:$B$7,MATCH(D320,Crops!$A$2:$A$7,0))</f>
        <v>Cassava</v>
      </c>
      <c r="R320" s="9" t="str">
        <f>INDEX(Districts!$B$2:$B$6,MATCH(C320,Districts!$A$2:$A$6,0))</f>
        <v>Ejura</v>
      </c>
    </row>
    <row r="321" spans="1:18">
      <c r="A321" t="s">
        <v>71</v>
      </c>
      <c r="B321" s="4">
        <v>45958</v>
      </c>
      <c r="C321" t="s">
        <v>51</v>
      </c>
      <c r="D321" t="s">
        <v>33</v>
      </c>
      <c r="E321">
        <v>10.9</v>
      </c>
      <c r="F321">
        <v>24882.5</v>
      </c>
      <c r="G321">
        <v>886.8</v>
      </c>
      <c r="H321">
        <v>23995.7</v>
      </c>
      <c r="I321" t="s">
        <v>67</v>
      </c>
      <c r="J321">
        <v>5.67</v>
      </c>
      <c r="K321">
        <v>7964.89</v>
      </c>
      <c r="L321">
        <f t="shared" si="20"/>
        <v>2282.7981651376144</v>
      </c>
      <c r="M321" s="8">
        <f t="shared" si="21"/>
        <v>3.5639505676680394E-2</v>
      </c>
      <c r="N321" s="10">
        <f t="shared" si="22"/>
        <v>136055.61900000001</v>
      </c>
      <c r="O321" s="10">
        <f t="shared" si="23"/>
        <v>128090.72900000001</v>
      </c>
      <c r="P321" s="9" t="str">
        <f t="shared" si="24"/>
        <v>OK</v>
      </c>
      <c r="Q321" s="9" t="str">
        <f>INDEX(Crops!$B$2:$B$7,MATCH(D321,Crops!$A$2:$A$7,0))</f>
        <v>Rice</v>
      </c>
      <c r="R321" s="9" t="str">
        <f>INDEX(Districts!$B$2:$B$6,MATCH(C321,Districts!$A$2:$A$6,0))</f>
        <v>Kintampo</v>
      </c>
    </row>
    <row r="322" spans="1:18">
      <c r="A322" t="s">
        <v>230</v>
      </c>
      <c r="B322" s="4">
        <v>45918</v>
      </c>
      <c r="C322" t="s">
        <v>51</v>
      </c>
      <c r="D322" t="s">
        <v>37</v>
      </c>
      <c r="E322">
        <v>5</v>
      </c>
      <c r="F322">
        <v>25935.9</v>
      </c>
      <c r="G322">
        <v>2155.6999999999998</v>
      </c>
      <c r="H322">
        <v>23780.2</v>
      </c>
      <c r="I322" t="s">
        <v>77</v>
      </c>
      <c r="J322">
        <v>8.17</v>
      </c>
      <c r="K322">
        <v>8884.24</v>
      </c>
      <c r="L322">
        <f t="shared" ref="L322:L385" si="25">F322/E322</f>
        <v>5187.18</v>
      </c>
      <c r="M322" s="8">
        <f t="shared" ref="M322:M385" si="26">G322/F322</f>
        <v>8.3116452484779779E-2</v>
      </c>
      <c r="N322" s="10">
        <f t="shared" ref="N322:N385" si="27">H322*J322</f>
        <v>194284.234</v>
      </c>
      <c r="O322" s="10">
        <f t="shared" ref="O322:O385" si="28">N322-K322</f>
        <v>185399.99400000001</v>
      </c>
      <c r="P322" s="9" t="str">
        <f t="shared" ref="P322:P385" si="29">IF(H322+G322&gt;F322,"CHECK: Sold+Loss &gt; Harvest","OK")</f>
        <v>OK</v>
      </c>
      <c r="Q322" s="9" t="str">
        <f>INDEX(Crops!$B$2:$B$7,MATCH(D322,Crops!$A$2:$A$7,0))</f>
        <v>Pepper</v>
      </c>
      <c r="R322" s="9" t="str">
        <f>INDEX(Districts!$B$2:$B$6,MATCH(C322,Districts!$A$2:$A$6,0))</f>
        <v>Kintampo</v>
      </c>
    </row>
    <row r="323" spans="1:18">
      <c r="A323" t="s">
        <v>129</v>
      </c>
      <c r="B323" s="4">
        <v>46191</v>
      </c>
      <c r="C323" t="s">
        <v>47</v>
      </c>
      <c r="D323" t="s">
        <v>35</v>
      </c>
      <c r="E323">
        <v>9.4</v>
      </c>
      <c r="F323">
        <v>66513.100000000006</v>
      </c>
      <c r="G323">
        <v>7149</v>
      </c>
      <c r="H323">
        <v>59364.1</v>
      </c>
      <c r="I323" t="s">
        <v>77</v>
      </c>
      <c r="J323">
        <v>5.56</v>
      </c>
      <c r="K323">
        <v>10488.06</v>
      </c>
      <c r="L323">
        <f t="shared" si="25"/>
        <v>7075.8617021276596</v>
      </c>
      <c r="M323" s="8">
        <f t="shared" si="26"/>
        <v>0.10748258613716695</v>
      </c>
      <c r="N323" s="10">
        <f t="shared" si="27"/>
        <v>330064.39599999995</v>
      </c>
      <c r="O323" s="10">
        <f t="shared" si="28"/>
        <v>319576.33599999995</v>
      </c>
      <c r="P323" s="9" t="str">
        <f t="shared" si="29"/>
        <v>OK</v>
      </c>
      <c r="Q323" s="9" t="str">
        <f>INDEX(Crops!$B$2:$B$7,MATCH(D323,Crops!$A$2:$A$7,0))</f>
        <v>Tomato</v>
      </c>
      <c r="R323" s="9" t="str">
        <f>INDEX(Districts!$B$2:$B$6,MATCH(C323,Districts!$A$2:$A$6,0))</f>
        <v>Techiman</v>
      </c>
    </row>
    <row r="324" spans="1:18">
      <c r="A324" t="s">
        <v>231</v>
      </c>
      <c r="B324" s="4">
        <v>45958</v>
      </c>
      <c r="C324" t="s">
        <v>51</v>
      </c>
      <c r="D324" t="s">
        <v>41</v>
      </c>
      <c r="E324">
        <v>2.8</v>
      </c>
      <c r="F324">
        <v>20363.2</v>
      </c>
      <c r="G324">
        <v>2676.1</v>
      </c>
      <c r="H324">
        <v>17687.099999999999</v>
      </c>
      <c r="I324" t="s">
        <v>77</v>
      </c>
      <c r="J324">
        <v>2.57</v>
      </c>
      <c r="K324">
        <v>2244.67</v>
      </c>
      <c r="L324">
        <f t="shared" si="25"/>
        <v>7272.5714285714294</v>
      </c>
      <c r="M324" s="8">
        <f t="shared" si="26"/>
        <v>0.13141844110945233</v>
      </c>
      <c r="N324" s="10">
        <f t="shared" si="27"/>
        <v>45455.846999999994</v>
      </c>
      <c r="O324" s="10">
        <f t="shared" si="28"/>
        <v>43211.176999999996</v>
      </c>
      <c r="P324" s="9" t="str">
        <f t="shared" si="29"/>
        <v>OK</v>
      </c>
      <c r="Q324" s="9" t="str">
        <f>INDEX(Crops!$B$2:$B$7,MATCH(D324,Crops!$A$2:$A$7,0))</f>
        <v>Cassava</v>
      </c>
      <c r="R324" s="9" t="str">
        <f>INDEX(Districts!$B$2:$B$6,MATCH(C324,Districts!$A$2:$A$6,0))</f>
        <v>Kintampo</v>
      </c>
    </row>
    <row r="325" spans="1:18">
      <c r="A325" t="s">
        <v>169</v>
      </c>
      <c r="B325" s="4">
        <v>45999</v>
      </c>
      <c r="C325" t="s">
        <v>53</v>
      </c>
      <c r="D325" t="s">
        <v>35</v>
      </c>
      <c r="E325">
        <v>3</v>
      </c>
      <c r="F325">
        <v>19985.099999999999</v>
      </c>
      <c r="G325">
        <v>1001.1</v>
      </c>
      <c r="H325">
        <v>18984</v>
      </c>
      <c r="I325" t="s">
        <v>65</v>
      </c>
      <c r="J325">
        <v>6.05</v>
      </c>
      <c r="K325">
        <v>2620.13</v>
      </c>
      <c r="L325">
        <f t="shared" si="25"/>
        <v>6661.7</v>
      </c>
      <c r="M325" s="8">
        <f t="shared" si="26"/>
        <v>5.0092318777489236E-2</v>
      </c>
      <c r="N325" s="10">
        <f t="shared" si="27"/>
        <v>114853.2</v>
      </c>
      <c r="O325" s="10">
        <f t="shared" si="28"/>
        <v>112233.06999999999</v>
      </c>
      <c r="P325" s="9" t="str">
        <f t="shared" si="29"/>
        <v>OK</v>
      </c>
      <c r="Q325" s="9" t="str">
        <f>INDEX(Crops!$B$2:$B$7,MATCH(D325,Crops!$A$2:$A$7,0))</f>
        <v>Tomato</v>
      </c>
      <c r="R325" s="9" t="str">
        <f>INDEX(Districts!$B$2:$B$6,MATCH(C325,Districts!$A$2:$A$6,0))</f>
        <v>Hohoe</v>
      </c>
    </row>
    <row r="326" spans="1:18">
      <c r="A326" t="s">
        <v>226</v>
      </c>
      <c r="B326" s="4">
        <v>45998</v>
      </c>
      <c r="C326" t="s">
        <v>53</v>
      </c>
      <c r="D326" t="s">
        <v>33</v>
      </c>
      <c r="E326">
        <v>12.3</v>
      </c>
      <c r="F326">
        <v>24920.799999999999</v>
      </c>
      <c r="G326">
        <v>1325</v>
      </c>
      <c r="H326">
        <v>23595.8</v>
      </c>
      <c r="I326" t="s">
        <v>67</v>
      </c>
      <c r="J326">
        <v>5.79</v>
      </c>
      <c r="K326">
        <v>19486.439999999999</v>
      </c>
      <c r="L326">
        <f t="shared" si="25"/>
        <v>2026.0813008130081</v>
      </c>
      <c r="M326" s="8">
        <f t="shared" si="26"/>
        <v>5.3168437610349589E-2</v>
      </c>
      <c r="N326" s="10">
        <f t="shared" si="27"/>
        <v>136619.682</v>
      </c>
      <c r="O326" s="10">
        <f t="shared" si="28"/>
        <v>117133.242</v>
      </c>
      <c r="P326" s="9" t="str">
        <f t="shared" si="29"/>
        <v>OK</v>
      </c>
      <c r="Q326" s="9" t="str">
        <f>INDEX(Crops!$B$2:$B$7,MATCH(D326,Crops!$A$2:$A$7,0))</f>
        <v>Rice</v>
      </c>
      <c r="R326" s="9" t="str">
        <f>INDEX(Districts!$B$2:$B$6,MATCH(C326,Districts!$A$2:$A$6,0))</f>
        <v>Hohoe</v>
      </c>
    </row>
    <row r="327" spans="1:18">
      <c r="A327" t="s">
        <v>225</v>
      </c>
      <c r="B327" s="4">
        <v>45888</v>
      </c>
      <c r="C327" t="s">
        <v>51</v>
      </c>
      <c r="D327" t="s">
        <v>31</v>
      </c>
      <c r="E327">
        <v>11.6</v>
      </c>
      <c r="F327">
        <v>17844.3</v>
      </c>
      <c r="G327">
        <v>918.2</v>
      </c>
      <c r="H327">
        <v>16926.099999999999</v>
      </c>
      <c r="I327" t="s">
        <v>70</v>
      </c>
      <c r="J327">
        <v>3.16</v>
      </c>
      <c r="K327">
        <v>17245.96</v>
      </c>
      <c r="L327">
        <f t="shared" si="25"/>
        <v>1538.3017241379309</v>
      </c>
      <c r="M327" s="8">
        <f t="shared" si="26"/>
        <v>5.1456207304293254E-2</v>
      </c>
      <c r="N327" s="10">
        <f t="shared" si="27"/>
        <v>53486.475999999995</v>
      </c>
      <c r="O327" s="10">
        <f t="shared" si="28"/>
        <v>36240.515999999996</v>
      </c>
      <c r="P327" s="9" t="str">
        <f t="shared" si="29"/>
        <v>OK</v>
      </c>
      <c r="Q327" s="9" t="str">
        <f>INDEX(Crops!$B$2:$B$7,MATCH(D327,Crops!$A$2:$A$7,0))</f>
        <v>Maize</v>
      </c>
      <c r="R327" s="9" t="str">
        <f>INDEX(Districts!$B$2:$B$6,MATCH(C327,Districts!$A$2:$A$6,0))</f>
        <v>Kintampo</v>
      </c>
    </row>
    <row r="328" spans="1:18">
      <c r="A328" t="s">
        <v>232</v>
      </c>
      <c r="B328" s="4">
        <v>45929</v>
      </c>
      <c r="C328" t="s">
        <v>53</v>
      </c>
      <c r="D328" t="s">
        <v>33</v>
      </c>
      <c r="E328">
        <v>11.7</v>
      </c>
      <c r="F328">
        <v>26211.200000000001</v>
      </c>
      <c r="G328">
        <v>1751.4</v>
      </c>
      <c r="H328">
        <v>24459.8</v>
      </c>
      <c r="I328" t="s">
        <v>77</v>
      </c>
      <c r="J328">
        <v>6.89</v>
      </c>
      <c r="K328">
        <v>16683.52</v>
      </c>
      <c r="L328">
        <f t="shared" si="25"/>
        <v>2240.2735042735044</v>
      </c>
      <c r="M328" s="8">
        <f t="shared" si="26"/>
        <v>6.6818764497619337E-2</v>
      </c>
      <c r="N328" s="10">
        <f t="shared" si="27"/>
        <v>168528.022</v>
      </c>
      <c r="O328" s="10">
        <f t="shared" si="28"/>
        <v>151844.50200000001</v>
      </c>
      <c r="P328" s="9" t="str">
        <f t="shared" si="29"/>
        <v>OK</v>
      </c>
      <c r="Q328" s="9" t="str">
        <f>INDEX(Crops!$B$2:$B$7,MATCH(D328,Crops!$A$2:$A$7,0))</f>
        <v>Rice</v>
      </c>
      <c r="R328" s="9" t="str">
        <f>INDEX(Districts!$B$2:$B$6,MATCH(C328,Districts!$A$2:$A$6,0))</f>
        <v>Hohoe</v>
      </c>
    </row>
    <row r="329" spans="1:18">
      <c r="A329" t="s">
        <v>161</v>
      </c>
      <c r="B329" s="4">
        <v>45918</v>
      </c>
      <c r="C329" t="s">
        <v>49</v>
      </c>
      <c r="D329" t="s">
        <v>33</v>
      </c>
      <c r="E329">
        <v>2.1</v>
      </c>
      <c r="F329">
        <v>5259.6</v>
      </c>
      <c r="G329">
        <v>649.79999999999995</v>
      </c>
      <c r="H329">
        <v>4609.8</v>
      </c>
      <c r="I329" t="s">
        <v>77</v>
      </c>
      <c r="J329">
        <v>5.87</v>
      </c>
      <c r="K329">
        <v>3224.77</v>
      </c>
      <c r="L329">
        <f t="shared" si="25"/>
        <v>2504.5714285714284</v>
      </c>
      <c r="M329" s="8">
        <f t="shared" si="26"/>
        <v>0.12354551676933605</v>
      </c>
      <c r="N329" s="10">
        <f t="shared" si="27"/>
        <v>27059.526000000002</v>
      </c>
      <c r="O329" s="10">
        <f t="shared" si="28"/>
        <v>23834.756000000001</v>
      </c>
      <c r="P329" s="9" t="str">
        <f t="shared" si="29"/>
        <v>OK</v>
      </c>
      <c r="Q329" s="9" t="str">
        <f>INDEX(Crops!$B$2:$B$7,MATCH(D329,Crops!$A$2:$A$7,0))</f>
        <v>Rice</v>
      </c>
      <c r="R329" s="9" t="str">
        <f>INDEX(Districts!$B$2:$B$6,MATCH(C329,Districts!$A$2:$A$6,0))</f>
        <v>Tamale Metro</v>
      </c>
    </row>
    <row r="330" spans="1:18">
      <c r="A330" t="s">
        <v>156</v>
      </c>
      <c r="B330" s="4">
        <v>46156</v>
      </c>
      <c r="C330" t="s">
        <v>53</v>
      </c>
      <c r="D330" t="s">
        <v>39</v>
      </c>
      <c r="E330">
        <v>14.9</v>
      </c>
      <c r="F330">
        <v>18025.5</v>
      </c>
      <c r="G330">
        <v>1349</v>
      </c>
      <c r="H330">
        <v>16676.5</v>
      </c>
      <c r="I330" t="s">
        <v>65</v>
      </c>
      <c r="J330">
        <v>4.25</v>
      </c>
      <c r="K330">
        <v>24411.69</v>
      </c>
      <c r="L330">
        <f t="shared" si="25"/>
        <v>1209.765100671141</v>
      </c>
      <c r="M330" s="8">
        <f t="shared" si="26"/>
        <v>7.4838423344706112E-2</v>
      </c>
      <c r="N330" s="10">
        <f t="shared" si="27"/>
        <v>70875.125</v>
      </c>
      <c r="O330" s="10">
        <f t="shared" si="28"/>
        <v>46463.434999999998</v>
      </c>
      <c r="P330" s="9" t="str">
        <f t="shared" si="29"/>
        <v>OK</v>
      </c>
      <c r="Q330" s="9" t="str">
        <f>INDEX(Crops!$B$2:$B$7,MATCH(D330,Crops!$A$2:$A$7,0))</f>
        <v>Soybean</v>
      </c>
      <c r="R330" s="9" t="str">
        <f>INDEX(Districts!$B$2:$B$6,MATCH(C330,Districts!$A$2:$A$6,0))</f>
        <v>Hohoe</v>
      </c>
    </row>
    <row r="331" spans="1:18">
      <c r="A331" t="s">
        <v>103</v>
      </c>
      <c r="B331" s="4">
        <v>45923</v>
      </c>
      <c r="C331" t="s">
        <v>45</v>
      </c>
      <c r="D331" t="s">
        <v>33</v>
      </c>
      <c r="E331">
        <v>12.2</v>
      </c>
      <c r="F331">
        <v>18530.3</v>
      </c>
      <c r="G331">
        <v>2712.1</v>
      </c>
      <c r="H331">
        <v>15818.2</v>
      </c>
      <c r="I331" t="s">
        <v>77</v>
      </c>
      <c r="J331">
        <v>5.79</v>
      </c>
      <c r="K331">
        <v>15070.96</v>
      </c>
      <c r="L331">
        <f t="shared" si="25"/>
        <v>1518.877049180328</v>
      </c>
      <c r="M331" s="8">
        <f t="shared" si="26"/>
        <v>0.14636028558630998</v>
      </c>
      <c r="N331" s="10">
        <f t="shared" si="27"/>
        <v>91587.378000000012</v>
      </c>
      <c r="O331" s="10">
        <f t="shared" si="28"/>
        <v>76516.418000000005</v>
      </c>
      <c r="P331" s="9" t="str">
        <f t="shared" si="29"/>
        <v>OK</v>
      </c>
      <c r="Q331" s="9" t="str">
        <f>INDEX(Crops!$B$2:$B$7,MATCH(D331,Crops!$A$2:$A$7,0))</f>
        <v>Rice</v>
      </c>
      <c r="R331" s="9" t="str">
        <f>INDEX(Districts!$B$2:$B$6,MATCH(C331,Districts!$A$2:$A$6,0))</f>
        <v>Ejura</v>
      </c>
    </row>
    <row r="332" spans="1:18">
      <c r="A332" t="s">
        <v>135</v>
      </c>
      <c r="B332" s="4">
        <v>45890</v>
      </c>
      <c r="C332" t="s">
        <v>45</v>
      </c>
      <c r="D332" t="s">
        <v>41</v>
      </c>
      <c r="E332">
        <v>7.2</v>
      </c>
      <c r="F332">
        <v>39470</v>
      </c>
      <c r="G332">
        <v>3061.9</v>
      </c>
      <c r="H332">
        <v>36408.1</v>
      </c>
      <c r="I332" t="s">
        <v>65</v>
      </c>
      <c r="J332">
        <v>2.4900000000000002</v>
      </c>
      <c r="K332">
        <v>9606.83</v>
      </c>
      <c r="L332">
        <f t="shared" si="25"/>
        <v>5481.9444444444443</v>
      </c>
      <c r="M332" s="8">
        <f t="shared" si="26"/>
        <v>7.7575373701545478E-2</v>
      </c>
      <c r="N332" s="10">
        <f t="shared" si="27"/>
        <v>90656.169000000009</v>
      </c>
      <c r="O332" s="10">
        <f t="shared" si="28"/>
        <v>81049.339000000007</v>
      </c>
      <c r="P332" s="9" t="str">
        <f t="shared" si="29"/>
        <v>OK</v>
      </c>
      <c r="Q332" s="9" t="str">
        <f>INDEX(Crops!$B$2:$B$7,MATCH(D332,Crops!$A$2:$A$7,0))</f>
        <v>Cassava</v>
      </c>
      <c r="R332" s="9" t="str">
        <f>INDEX(Districts!$B$2:$B$6,MATCH(C332,Districts!$A$2:$A$6,0))</f>
        <v>Ejura</v>
      </c>
    </row>
    <row r="333" spans="1:18">
      <c r="A333" t="s">
        <v>194</v>
      </c>
      <c r="B333" s="4">
        <v>46186</v>
      </c>
      <c r="C333" t="s">
        <v>51</v>
      </c>
      <c r="D333" t="s">
        <v>39</v>
      </c>
      <c r="E333">
        <v>14.7</v>
      </c>
      <c r="F333">
        <v>19460.099999999999</v>
      </c>
      <c r="G333">
        <v>2529.9</v>
      </c>
      <c r="H333">
        <v>16930.2</v>
      </c>
      <c r="I333" t="s">
        <v>65</v>
      </c>
      <c r="J333">
        <v>4.08</v>
      </c>
      <c r="K333">
        <v>12811.28</v>
      </c>
      <c r="L333">
        <f t="shared" si="25"/>
        <v>1323.8163265306123</v>
      </c>
      <c r="M333" s="8">
        <f t="shared" si="26"/>
        <v>0.13000447068617327</v>
      </c>
      <c r="N333" s="10">
        <f t="shared" si="27"/>
        <v>69075.216</v>
      </c>
      <c r="O333" s="10">
        <f t="shared" si="28"/>
        <v>56263.936000000002</v>
      </c>
      <c r="P333" s="9" t="str">
        <f t="shared" si="29"/>
        <v>OK</v>
      </c>
      <c r="Q333" s="9" t="str">
        <f>INDEX(Crops!$B$2:$B$7,MATCH(D333,Crops!$A$2:$A$7,0))</f>
        <v>Soybean</v>
      </c>
      <c r="R333" s="9" t="str">
        <f>INDEX(Districts!$B$2:$B$6,MATCH(C333,Districts!$A$2:$A$6,0))</f>
        <v>Kintampo</v>
      </c>
    </row>
    <row r="334" spans="1:18">
      <c r="A334" t="s">
        <v>82</v>
      </c>
      <c r="B334" s="4">
        <v>46067</v>
      </c>
      <c r="C334" t="s">
        <v>49</v>
      </c>
      <c r="D334" t="s">
        <v>35</v>
      </c>
      <c r="E334">
        <v>9.4</v>
      </c>
      <c r="F334">
        <v>89969.600000000006</v>
      </c>
      <c r="G334">
        <v>1858.4</v>
      </c>
      <c r="H334">
        <v>88111.2</v>
      </c>
      <c r="I334" t="s">
        <v>77</v>
      </c>
      <c r="J334">
        <v>7.61</v>
      </c>
      <c r="K334">
        <v>14096.49</v>
      </c>
      <c r="L334">
        <f t="shared" si="25"/>
        <v>9571.2340425531911</v>
      </c>
      <c r="M334" s="8">
        <f t="shared" si="26"/>
        <v>2.065586598139816E-2</v>
      </c>
      <c r="N334" s="10">
        <f t="shared" si="27"/>
        <v>670526.23199999996</v>
      </c>
      <c r="O334" s="10">
        <f t="shared" si="28"/>
        <v>656429.74199999997</v>
      </c>
      <c r="P334" s="9" t="str">
        <f t="shared" si="29"/>
        <v>OK</v>
      </c>
      <c r="Q334" s="9" t="str">
        <f>INDEX(Crops!$B$2:$B$7,MATCH(D334,Crops!$A$2:$A$7,0))</f>
        <v>Tomato</v>
      </c>
      <c r="R334" s="9" t="str">
        <f>INDEX(Districts!$B$2:$B$6,MATCH(C334,Districts!$A$2:$A$6,0))</f>
        <v>Tamale Metro</v>
      </c>
    </row>
    <row r="335" spans="1:18">
      <c r="A335" t="s">
        <v>105</v>
      </c>
      <c r="B335" s="4">
        <v>46022</v>
      </c>
      <c r="C335" t="s">
        <v>53</v>
      </c>
      <c r="D335" t="s">
        <v>37</v>
      </c>
      <c r="E335">
        <v>1.9</v>
      </c>
      <c r="F335">
        <v>9411.2999999999993</v>
      </c>
      <c r="G335">
        <v>979</v>
      </c>
      <c r="H335">
        <v>8432.2999999999993</v>
      </c>
      <c r="I335" t="s">
        <v>77</v>
      </c>
      <c r="J335">
        <v>9.02</v>
      </c>
      <c r="K335">
        <v>2708.68</v>
      </c>
      <c r="L335">
        <f t="shared" si="25"/>
        <v>4953.3157894736842</v>
      </c>
      <c r="M335" s="8">
        <f t="shared" si="26"/>
        <v>0.10402388617938012</v>
      </c>
      <c r="N335" s="10">
        <f t="shared" si="27"/>
        <v>76059.34599999999</v>
      </c>
      <c r="O335" s="10">
        <f t="shared" si="28"/>
        <v>73350.665999999997</v>
      </c>
      <c r="P335" s="9" t="str">
        <f t="shared" si="29"/>
        <v>OK</v>
      </c>
      <c r="Q335" s="9" t="str">
        <f>INDEX(Crops!$B$2:$B$7,MATCH(D335,Crops!$A$2:$A$7,0))</f>
        <v>Pepper</v>
      </c>
      <c r="R335" s="9" t="str">
        <f>INDEX(Districts!$B$2:$B$6,MATCH(C335,Districts!$A$2:$A$6,0))</f>
        <v>Hohoe</v>
      </c>
    </row>
    <row r="336" spans="1:18">
      <c r="A336" t="s">
        <v>93</v>
      </c>
      <c r="B336" s="4">
        <v>46117</v>
      </c>
      <c r="C336" t="s">
        <v>53</v>
      </c>
      <c r="D336" t="s">
        <v>41</v>
      </c>
      <c r="E336">
        <v>11.7</v>
      </c>
      <c r="F336">
        <v>78360.600000000006</v>
      </c>
      <c r="G336">
        <v>4858.5</v>
      </c>
      <c r="H336">
        <v>73502.100000000006</v>
      </c>
      <c r="I336" t="s">
        <v>70</v>
      </c>
      <c r="J336">
        <v>2.2400000000000002</v>
      </c>
      <c r="K336">
        <v>12187.42</v>
      </c>
      <c r="L336">
        <f t="shared" si="25"/>
        <v>6697.4871794871806</v>
      </c>
      <c r="M336" s="8">
        <f t="shared" si="26"/>
        <v>6.2001822344392457E-2</v>
      </c>
      <c r="N336" s="10">
        <f t="shared" si="27"/>
        <v>164644.70400000003</v>
      </c>
      <c r="O336" s="10">
        <f t="shared" si="28"/>
        <v>152457.28400000001</v>
      </c>
      <c r="P336" s="9" t="str">
        <f t="shared" si="29"/>
        <v>OK</v>
      </c>
      <c r="Q336" s="9" t="str">
        <f>INDEX(Crops!$B$2:$B$7,MATCH(D336,Crops!$A$2:$A$7,0))</f>
        <v>Cassava</v>
      </c>
      <c r="R336" s="9" t="str">
        <f>INDEX(Districts!$B$2:$B$6,MATCH(C336,Districts!$A$2:$A$6,0))</f>
        <v>Hohoe</v>
      </c>
    </row>
    <row r="337" spans="1:18">
      <c r="A337" t="s">
        <v>202</v>
      </c>
      <c r="B337" s="4">
        <v>46012</v>
      </c>
      <c r="C337" t="s">
        <v>49</v>
      </c>
      <c r="D337" t="s">
        <v>41</v>
      </c>
      <c r="E337">
        <v>6.5</v>
      </c>
      <c r="F337">
        <v>43143.1</v>
      </c>
      <c r="G337">
        <v>3225.2</v>
      </c>
      <c r="H337">
        <v>39917.9</v>
      </c>
      <c r="I337" t="s">
        <v>77</v>
      </c>
      <c r="J337">
        <v>2.87</v>
      </c>
      <c r="K337">
        <v>4319.95</v>
      </c>
      <c r="L337">
        <f t="shared" si="25"/>
        <v>6637.4</v>
      </c>
      <c r="M337" s="8">
        <f t="shared" si="26"/>
        <v>7.4755870579536476E-2</v>
      </c>
      <c r="N337" s="10">
        <f t="shared" si="27"/>
        <v>114564.37300000001</v>
      </c>
      <c r="O337" s="10">
        <f t="shared" si="28"/>
        <v>110244.42300000001</v>
      </c>
      <c r="P337" s="9" t="str">
        <f t="shared" si="29"/>
        <v>OK</v>
      </c>
      <c r="Q337" s="9" t="str">
        <f>INDEX(Crops!$B$2:$B$7,MATCH(D337,Crops!$A$2:$A$7,0))</f>
        <v>Cassava</v>
      </c>
      <c r="R337" s="9" t="str">
        <f>INDEX(Districts!$B$2:$B$6,MATCH(C337,Districts!$A$2:$A$6,0))</f>
        <v>Tamale Metro</v>
      </c>
    </row>
    <row r="338" spans="1:18">
      <c r="A338" t="s">
        <v>134</v>
      </c>
      <c r="B338" s="4">
        <v>46131</v>
      </c>
      <c r="C338" t="s">
        <v>49</v>
      </c>
      <c r="D338" t="s">
        <v>39</v>
      </c>
      <c r="E338">
        <v>10.8</v>
      </c>
      <c r="F338">
        <v>20061.3</v>
      </c>
      <c r="G338">
        <v>2025.8</v>
      </c>
      <c r="H338">
        <v>18035.5</v>
      </c>
      <c r="I338" t="s">
        <v>70</v>
      </c>
      <c r="J338">
        <v>4.92</v>
      </c>
      <c r="K338">
        <v>18178.650000000001</v>
      </c>
      <c r="L338">
        <f t="shared" si="25"/>
        <v>1857.5277777777776</v>
      </c>
      <c r="M338" s="8">
        <f t="shared" si="26"/>
        <v>0.10098049478348861</v>
      </c>
      <c r="N338" s="10">
        <f t="shared" si="27"/>
        <v>88734.66</v>
      </c>
      <c r="O338" s="10">
        <f t="shared" si="28"/>
        <v>70556.010000000009</v>
      </c>
      <c r="P338" s="9" t="str">
        <f t="shared" si="29"/>
        <v>OK</v>
      </c>
      <c r="Q338" s="9" t="str">
        <f>INDEX(Crops!$B$2:$B$7,MATCH(D338,Crops!$A$2:$A$7,0))</f>
        <v>Soybean</v>
      </c>
      <c r="R338" s="9" t="str">
        <f>INDEX(Districts!$B$2:$B$6,MATCH(C338,Districts!$A$2:$A$6,0))</f>
        <v>Tamale Metro</v>
      </c>
    </row>
    <row r="339" spans="1:18">
      <c r="A339" t="s">
        <v>113</v>
      </c>
      <c r="B339" s="4">
        <v>45892</v>
      </c>
      <c r="C339" t="s">
        <v>51</v>
      </c>
      <c r="D339" t="s">
        <v>33</v>
      </c>
      <c r="E339">
        <v>5.3</v>
      </c>
      <c r="F339">
        <v>12616.6</v>
      </c>
      <c r="G339">
        <v>282</v>
      </c>
      <c r="H339">
        <v>12334.6</v>
      </c>
      <c r="I339" t="s">
        <v>70</v>
      </c>
      <c r="J339">
        <v>5.16</v>
      </c>
      <c r="K339">
        <v>7798.03</v>
      </c>
      <c r="L339">
        <f t="shared" si="25"/>
        <v>2380.4905660377358</v>
      </c>
      <c r="M339" s="8">
        <f t="shared" si="26"/>
        <v>2.2351505159868744E-2</v>
      </c>
      <c r="N339" s="10">
        <f t="shared" si="27"/>
        <v>63646.536</v>
      </c>
      <c r="O339" s="10">
        <f t="shared" si="28"/>
        <v>55848.506000000001</v>
      </c>
      <c r="P339" s="9" t="str">
        <f t="shared" si="29"/>
        <v>OK</v>
      </c>
      <c r="Q339" s="9" t="str">
        <f>INDEX(Crops!$B$2:$B$7,MATCH(D339,Crops!$A$2:$A$7,0))</f>
        <v>Rice</v>
      </c>
      <c r="R339" s="9" t="str">
        <f>INDEX(Districts!$B$2:$B$6,MATCH(C339,Districts!$A$2:$A$6,0))</f>
        <v>Kintampo</v>
      </c>
    </row>
    <row r="340" spans="1:18">
      <c r="A340" t="s">
        <v>89</v>
      </c>
      <c r="B340" s="4">
        <v>46082</v>
      </c>
      <c r="C340" t="s">
        <v>53</v>
      </c>
      <c r="D340" t="s">
        <v>31</v>
      </c>
      <c r="E340">
        <v>10.4</v>
      </c>
      <c r="F340">
        <v>18689</v>
      </c>
      <c r="G340">
        <v>2706.3</v>
      </c>
      <c r="H340">
        <v>15982.7</v>
      </c>
      <c r="I340" t="s">
        <v>65</v>
      </c>
      <c r="J340">
        <v>3.13</v>
      </c>
      <c r="K340">
        <v>7863.65</v>
      </c>
      <c r="L340">
        <f t="shared" si="25"/>
        <v>1797.0192307692307</v>
      </c>
      <c r="M340" s="8">
        <f t="shared" si="26"/>
        <v>0.14480710578415112</v>
      </c>
      <c r="N340" s="10">
        <f t="shared" si="27"/>
        <v>50025.851000000002</v>
      </c>
      <c r="O340" s="10">
        <f t="shared" si="28"/>
        <v>42162.201000000001</v>
      </c>
      <c r="P340" s="9" t="str">
        <f t="shared" si="29"/>
        <v>OK</v>
      </c>
      <c r="Q340" s="9" t="str">
        <f>INDEX(Crops!$B$2:$B$7,MATCH(D340,Crops!$A$2:$A$7,0))</f>
        <v>Maize</v>
      </c>
      <c r="R340" s="9" t="str">
        <f>INDEX(Districts!$B$2:$B$6,MATCH(C340,Districts!$A$2:$A$6,0))</f>
        <v>Hohoe</v>
      </c>
    </row>
    <row r="341" spans="1:18">
      <c r="A341" t="s">
        <v>86</v>
      </c>
      <c r="B341" s="4">
        <v>45969</v>
      </c>
      <c r="C341" t="s">
        <v>45</v>
      </c>
      <c r="D341" t="s">
        <v>31</v>
      </c>
      <c r="E341">
        <v>8.8000000000000007</v>
      </c>
      <c r="F341">
        <v>13590.8</v>
      </c>
      <c r="G341">
        <v>665.5</v>
      </c>
      <c r="H341">
        <v>12925.3</v>
      </c>
      <c r="I341" t="s">
        <v>67</v>
      </c>
      <c r="J341">
        <v>3.3</v>
      </c>
      <c r="K341">
        <v>5881.56</v>
      </c>
      <c r="L341">
        <f t="shared" si="25"/>
        <v>1544.4090909090908</v>
      </c>
      <c r="M341" s="8">
        <f t="shared" si="26"/>
        <v>4.8966948229684788E-2</v>
      </c>
      <c r="N341" s="10">
        <f t="shared" si="27"/>
        <v>42653.49</v>
      </c>
      <c r="O341" s="10">
        <f t="shared" si="28"/>
        <v>36771.93</v>
      </c>
      <c r="P341" s="9" t="str">
        <f t="shared" si="29"/>
        <v>OK</v>
      </c>
      <c r="Q341" s="9" t="str">
        <f>INDEX(Crops!$B$2:$B$7,MATCH(D341,Crops!$A$2:$A$7,0))</f>
        <v>Maize</v>
      </c>
      <c r="R341" s="9" t="str">
        <f>INDEX(Districts!$B$2:$B$6,MATCH(C341,Districts!$A$2:$A$6,0))</f>
        <v>Ejura</v>
      </c>
    </row>
    <row r="342" spans="1:18">
      <c r="A342" t="s">
        <v>233</v>
      </c>
      <c r="B342" s="4">
        <v>46116</v>
      </c>
      <c r="C342" t="s">
        <v>51</v>
      </c>
      <c r="D342" t="s">
        <v>39</v>
      </c>
      <c r="E342">
        <v>10.9</v>
      </c>
      <c r="F342">
        <v>11691.2</v>
      </c>
      <c r="G342">
        <v>566.5</v>
      </c>
      <c r="H342">
        <v>11124.7</v>
      </c>
      <c r="I342" t="s">
        <v>70</v>
      </c>
      <c r="J342">
        <v>4.01</v>
      </c>
      <c r="K342">
        <v>11700.89</v>
      </c>
      <c r="L342">
        <f t="shared" si="25"/>
        <v>1072.5871559633028</v>
      </c>
      <c r="M342" s="8">
        <f t="shared" si="26"/>
        <v>4.8455248391952921E-2</v>
      </c>
      <c r="N342" s="10">
        <f t="shared" si="27"/>
        <v>44610.046999999999</v>
      </c>
      <c r="O342" s="10">
        <f t="shared" si="28"/>
        <v>32909.156999999999</v>
      </c>
      <c r="P342" s="9" t="str">
        <f t="shared" si="29"/>
        <v>OK</v>
      </c>
      <c r="Q342" s="9" t="str">
        <f>INDEX(Crops!$B$2:$B$7,MATCH(D342,Crops!$A$2:$A$7,0))</f>
        <v>Soybean</v>
      </c>
      <c r="R342" s="9" t="str">
        <f>INDEX(Districts!$B$2:$B$6,MATCH(C342,Districts!$A$2:$A$6,0))</f>
        <v>Kintampo</v>
      </c>
    </row>
    <row r="343" spans="1:18">
      <c r="A343" t="s">
        <v>95</v>
      </c>
      <c r="B343" s="4">
        <v>45946</v>
      </c>
      <c r="C343" t="s">
        <v>51</v>
      </c>
      <c r="D343" t="s">
        <v>33</v>
      </c>
      <c r="E343">
        <v>10.5</v>
      </c>
      <c r="F343">
        <v>28542.5</v>
      </c>
      <c r="G343">
        <v>4327.7</v>
      </c>
      <c r="H343">
        <v>24214.799999999999</v>
      </c>
      <c r="I343" t="s">
        <v>67</v>
      </c>
      <c r="J343">
        <v>5.71</v>
      </c>
      <c r="K343">
        <v>10444.41</v>
      </c>
      <c r="L343">
        <f t="shared" si="25"/>
        <v>2718.3333333333335</v>
      </c>
      <c r="M343" s="8">
        <f t="shared" si="26"/>
        <v>0.15162301830603486</v>
      </c>
      <c r="N343" s="10">
        <f t="shared" si="27"/>
        <v>138266.508</v>
      </c>
      <c r="O343" s="10">
        <f t="shared" si="28"/>
        <v>127822.098</v>
      </c>
      <c r="P343" s="9" t="str">
        <f t="shared" si="29"/>
        <v>OK</v>
      </c>
      <c r="Q343" s="9" t="str">
        <f>INDEX(Crops!$B$2:$B$7,MATCH(D343,Crops!$A$2:$A$7,0))</f>
        <v>Rice</v>
      </c>
      <c r="R343" s="9" t="str">
        <f>INDEX(Districts!$B$2:$B$6,MATCH(C343,Districts!$A$2:$A$6,0))</f>
        <v>Kintampo</v>
      </c>
    </row>
    <row r="344" spans="1:18">
      <c r="A344" t="s">
        <v>234</v>
      </c>
      <c r="B344" s="4">
        <v>45927</v>
      </c>
      <c r="C344" t="s">
        <v>47</v>
      </c>
      <c r="D344" t="s">
        <v>31</v>
      </c>
      <c r="E344">
        <v>4.5999999999999996</v>
      </c>
      <c r="F344">
        <v>6060.3</v>
      </c>
      <c r="G344">
        <v>696.8</v>
      </c>
      <c r="H344">
        <v>5363.5</v>
      </c>
      <c r="I344" t="s">
        <v>70</v>
      </c>
      <c r="J344">
        <v>3.13</v>
      </c>
      <c r="K344">
        <v>3561.71</v>
      </c>
      <c r="L344">
        <f t="shared" si="25"/>
        <v>1317.4565217391305</v>
      </c>
      <c r="M344" s="8">
        <f t="shared" si="26"/>
        <v>0.11497780637922214</v>
      </c>
      <c r="N344" s="10">
        <f t="shared" si="27"/>
        <v>16787.755000000001</v>
      </c>
      <c r="O344" s="10">
        <f t="shared" si="28"/>
        <v>13226.045000000002</v>
      </c>
      <c r="P344" s="9" t="str">
        <f t="shared" si="29"/>
        <v>OK</v>
      </c>
      <c r="Q344" s="9" t="str">
        <f>INDEX(Crops!$B$2:$B$7,MATCH(D344,Crops!$A$2:$A$7,0))</f>
        <v>Maize</v>
      </c>
      <c r="R344" s="9" t="str">
        <f>INDEX(Districts!$B$2:$B$6,MATCH(C344,Districts!$A$2:$A$6,0))</f>
        <v>Techiman</v>
      </c>
    </row>
    <row r="345" spans="1:18">
      <c r="A345" t="s">
        <v>235</v>
      </c>
      <c r="B345" s="4">
        <v>46060</v>
      </c>
      <c r="C345" t="s">
        <v>49</v>
      </c>
      <c r="D345" t="s">
        <v>39</v>
      </c>
      <c r="E345">
        <v>14</v>
      </c>
      <c r="F345">
        <v>16346.7</v>
      </c>
      <c r="G345">
        <v>2583.1999999999998</v>
      </c>
      <c r="H345">
        <v>13763.5</v>
      </c>
      <c r="I345" t="s">
        <v>65</v>
      </c>
      <c r="J345">
        <v>4.2</v>
      </c>
      <c r="K345">
        <v>21911.26</v>
      </c>
      <c r="L345">
        <f t="shared" si="25"/>
        <v>1167.6214285714286</v>
      </c>
      <c r="M345" s="8">
        <f t="shared" si="26"/>
        <v>0.1580257789033872</v>
      </c>
      <c r="N345" s="10">
        <f t="shared" si="27"/>
        <v>57806.700000000004</v>
      </c>
      <c r="O345" s="10">
        <f t="shared" si="28"/>
        <v>35895.440000000002</v>
      </c>
      <c r="P345" s="9" t="str">
        <f t="shared" si="29"/>
        <v>OK</v>
      </c>
      <c r="Q345" s="9" t="str">
        <f>INDEX(Crops!$B$2:$B$7,MATCH(D345,Crops!$A$2:$A$7,0))</f>
        <v>Soybean</v>
      </c>
      <c r="R345" s="9" t="str">
        <f>INDEX(Districts!$B$2:$B$6,MATCH(C345,Districts!$A$2:$A$6,0))</f>
        <v>Tamale Metro</v>
      </c>
    </row>
    <row r="346" spans="1:18">
      <c r="A346" t="s">
        <v>108</v>
      </c>
      <c r="B346" s="4">
        <v>45848</v>
      </c>
      <c r="C346" t="s">
        <v>49</v>
      </c>
      <c r="D346" t="s">
        <v>37</v>
      </c>
      <c r="E346">
        <v>1.5</v>
      </c>
      <c r="F346">
        <v>6788.4</v>
      </c>
      <c r="G346">
        <v>939.3</v>
      </c>
      <c r="H346">
        <v>5849.1</v>
      </c>
      <c r="I346" t="s">
        <v>65</v>
      </c>
      <c r="J346">
        <v>10.3</v>
      </c>
      <c r="K346">
        <v>1264.67</v>
      </c>
      <c r="L346">
        <f t="shared" si="25"/>
        <v>4525.5999999999995</v>
      </c>
      <c r="M346" s="8">
        <f t="shared" si="26"/>
        <v>0.13836839314124094</v>
      </c>
      <c r="N346" s="10">
        <f t="shared" si="27"/>
        <v>60245.73000000001</v>
      </c>
      <c r="O346" s="10">
        <f t="shared" si="28"/>
        <v>58981.060000000012</v>
      </c>
      <c r="P346" s="9" t="str">
        <f t="shared" si="29"/>
        <v>OK</v>
      </c>
      <c r="Q346" s="9" t="str">
        <f>INDEX(Crops!$B$2:$B$7,MATCH(D346,Crops!$A$2:$A$7,0))</f>
        <v>Pepper</v>
      </c>
      <c r="R346" s="9" t="str">
        <f>INDEX(Districts!$B$2:$B$6,MATCH(C346,Districts!$A$2:$A$6,0))</f>
        <v>Tamale Metro</v>
      </c>
    </row>
    <row r="347" spans="1:18">
      <c r="A347" t="s">
        <v>102</v>
      </c>
      <c r="B347" s="4">
        <v>46043</v>
      </c>
      <c r="C347" t="s">
        <v>53</v>
      </c>
      <c r="D347" t="s">
        <v>37</v>
      </c>
      <c r="E347">
        <v>6.8</v>
      </c>
      <c r="F347">
        <v>33157.800000000003</v>
      </c>
      <c r="G347">
        <v>5086.5</v>
      </c>
      <c r="H347">
        <v>28071.3</v>
      </c>
      <c r="I347" t="s">
        <v>67</v>
      </c>
      <c r="J347">
        <v>8</v>
      </c>
      <c r="K347">
        <v>5944.43</v>
      </c>
      <c r="L347">
        <f t="shared" si="25"/>
        <v>4876.1470588235297</v>
      </c>
      <c r="M347" s="8">
        <f t="shared" si="26"/>
        <v>0.15340281924615021</v>
      </c>
      <c r="N347" s="10">
        <f t="shared" si="27"/>
        <v>224570.4</v>
      </c>
      <c r="O347" s="10">
        <f t="shared" si="28"/>
        <v>218625.97</v>
      </c>
      <c r="P347" s="9" t="str">
        <f t="shared" si="29"/>
        <v>OK</v>
      </c>
      <c r="Q347" s="9" t="str">
        <f>INDEX(Crops!$B$2:$B$7,MATCH(D347,Crops!$A$2:$A$7,0))</f>
        <v>Pepper</v>
      </c>
      <c r="R347" s="9" t="str">
        <f>INDEX(Districts!$B$2:$B$6,MATCH(C347,Districts!$A$2:$A$6,0))</f>
        <v>Hohoe</v>
      </c>
    </row>
    <row r="348" spans="1:18">
      <c r="A348" t="s">
        <v>110</v>
      </c>
      <c r="B348" s="4">
        <v>45986</v>
      </c>
      <c r="C348" t="s">
        <v>49</v>
      </c>
      <c r="D348" t="s">
        <v>31</v>
      </c>
      <c r="E348">
        <v>9.1999999999999993</v>
      </c>
      <c r="F348">
        <v>11549.1</v>
      </c>
      <c r="G348">
        <v>1289.8</v>
      </c>
      <c r="H348">
        <v>10259.299999999999</v>
      </c>
      <c r="I348" t="s">
        <v>77</v>
      </c>
      <c r="J348">
        <v>3.6</v>
      </c>
      <c r="K348">
        <v>6656.15</v>
      </c>
      <c r="L348">
        <f t="shared" si="25"/>
        <v>1255.3369565217392</v>
      </c>
      <c r="M348" s="8">
        <f t="shared" si="26"/>
        <v>0.11167969798512438</v>
      </c>
      <c r="N348" s="10">
        <f t="shared" si="27"/>
        <v>36933.479999999996</v>
      </c>
      <c r="O348" s="10">
        <f t="shared" si="28"/>
        <v>30277.329999999994</v>
      </c>
      <c r="P348" s="9" t="str">
        <f t="shared" si="29"/>
        <v>OK</v>
      </c>
      <c r="Q348" s="9" t="str">
        <f>INDEX(Crops!$B$2:$B$7,MATCH(D348,Crops!$A$2:$A$7,0))</f>
        <v>Maize</v>
      </c>
      <c r="R348" s="9" t="str">
        <f>INDEX(Districts!$B$2:$B$6,MATCH(C348,Districts!$A$2:$A$6,0))</f>
        <v>Tamale Metro</v>
      </c>
    </row>
    <row r="349" spans="1:18">
      <c r="A349" t="s">
        <v>73</v>
      </c>
      <c r="B349" s="4">
        <v>45934</v>
      </c>
      <c r="C349" t="s">
        <v>53</v>
      </c>
      <c r="D349" t="s">
        <v>35</v>
      </c>
      <c r="E349">
        <v>2.2999999999999998</v>
      </c>
      <c r="F349">
        <v>17345.8</v>
      </c>
      <c r="G349">
        <v>2523</v>
      </c>
      <c r="H349">
        <v>14822.8</v>
      </c>
      <c r="I349" t="s">
        <v>67</v>
      </c>
      <c r="J349">
        <v>7.69</v>
      </c>
      <c r="K349">
        <v>3671.48</v>
      </c>
      <c r="L349">
        <f t="shared" si="25"/>
        <v>7541.652173913044</v>
      </c>
      <c r="M349" s="8">
        <f t="shared" si="26"/>
        <v>0.14545307797853083</v>
      </c>
      <c r="N349" s="10">
        <f t="shared" si="27"/>
        <v>113987.33199999999</v>
      </c>
      <c r="O349" s="10">
        <f t="shared" si="28"/>
        <v>110315.852</v>
      </c>
      <c r="P349" s="9" t="str">
        <f t="shared" si="29"/>
        <v>OK</v>
      </c>
      <c r="Q349" s="9" t="str">
        <f>INDEX(Crops!$B$2:$B$7,MATCH(D349,Crops!$A$2:$A$7,0))</f>
        <v>Tomato</v>
      </c>
      <c r="R349" s="9" t="str">
        <f>INDEX(Districts!$B$2:$B$6,MATCH(C349,Districts!$A$2:$A$6,0))</f>
        <v>Hohoe</v>
      </c>
    </row>
    <row r="350" spans="1:18">
      <c r="A350" t="s">
        <v>173</v>
      </c>
      <c r="B350" s="4">
        <v>45870</v>
      </c>
      <c r="C350" t="s">
        <v>49</v>
      </c>
      <c r="D350" t="s">
        <v>31</v>
      </c>
      <c r="E350">
        <v>2.6</v>
      </c>
      <c r="F350">
        <v>3709.2</v>
      </c>
      <c r="G350">
        <v>99.6</v>
      </c>
      <c r="H350">
        <v>3609.6</v>
      </c>
      <c r="I350" t="s">
        <v>70</v>
      </c>
      <c r="J350">
        <v>3.54</v>
      </c>
      <c r="K350">
        <v>2197.7600000000002</v>
      </c>
      <c r="L350">
        <f t="shared" si="25"/>
        <v>1426.6153846153845</v>
      </c>
      <c r="M350" s="8">
        <f t="shared" si="26"/>
        <v>2.685215140731155E-2</v>
      </c>
      <c r="N350" s="10">
        <f t="shared" si="27"/>
        <v>12777.984</v>
      </c>
      <c r="O350" s="10">
        <f t="shared" si="28"/>
        <v>10580.224</v>
      </c>
      <c r="P350" s="9" t="str">
        <f t="shared" si="29"/>
        <v>OK</v>
      </c>
      <c r="Q350" s="9" t="str">
        <f>INDEX(Crops!$B$2:$B$7,MATCH(D350,Crops!$A$2:$A$7,0))</f>
        <v>Maize</v>
      </c>
      <c r="R350" s="9" t="str">
        <f>INDEX(Districts!$B$2:$B$6,MATCH(C350,Districts!$A$2:$A$6,0))</f>
        <v>Tamale Metro</v>
      </c>
    </row>
    <row r="351" spans="1:18">
      <c r="A351" t="s">
        <v>69</v>
      </c>
      <c r="B351" s="4">
        <v>45927</v>
      </c>
      <c r="C351" t="s">
        <v>49</v>
      </c>
      <c r="D351" t="s">
        <v>31</v>
      </c>
      <c r="E351">
        <v>2.2000000000000002</v>
      </c>
      <c r="F351">
        <v>5240.3999999999996</v>
      </c>
      <c r="G351">
        <v>782.4</v>
      </c>
      <c r="H351">
        <v>4458</v>
      </c>
      <c r="I351" t="s">
        <v>67</v>
      </c>
      <c r="J351">
        <v>3.57</v>
      </c>
      <c r="K351">
        <v>1939.34</v>
      </c>
      <c r="L351">
        <f t="shared" si="25"/>
        <v>2381.9999999999995</v>
      </c>
      <c r="M351" s="8">
        <f t="shared" si="26"/>
        <v>0.14930158003205862</v>
      </c>
      <c r="N351" s="10">
        <f t="shared" si="27"/>
        <v>15915.06</v>
      </c>
      <c r="O351" s="10">
        <f t="shared" si="28"/>
        <v>13975.72</v>
      </c>
      <c r="P351" s="9" t="str">
        <f t="shared" si="29"/>
        <v>OK</v>
      </c>
      <c r="Q351" s="9" t="str">
        <f>INDEX(Crops!$B$2:$B$7,MATCH(D351,Crops!$A$2:$A$7,0))</f>
        <v>Maize</v>
      </c>
      <c r="R351" s="9" t="str">
        <f>INDEX(Districts!$B$2:$B$6,MATCH(C351,Districts!$A$2:$A$6,0))</f>
        <v>Tamale Metro</v>
      </c>
    </row>
    <row r="352" spans="1:18">
      <c r="A352" t="s">
        <v>92</v>
      </c>
      <c r="B352" s="4">
        <v>45872</v>
      </c>
      <c r="C352" t="s">
        <v>49</v>
      </c>
      <c r="D352" t="s">
        <v>41</v>
      </c>
      <c r="E352">
        <v>13.9</v>
      </c>
      <c r="F352">
        <v>60902.3</v>
      </c>
      <c r="G352">
        <v>6634</v>
      </c>
      <c r="H352">
        <v>54268.3</v>
      </c>
      <c r="I352" t="s">
        <v>67</v>
      </c>
      <c r="J352">
        <v>2.2599999999999998</v>
      </c>
      <c r="K352">
        <v>9377.76</v>
      </c>
      <c r="L352">
        <f t="shared" si="25"/>
        <v>4381.4604316546765</v>
      </c>
      <c r="M352" s="8">
        <f t="shared" si="26"/>
        <v>0.10892856263228154</v>
      </c>
      <c r="N352" s="10">
        <f t="shared" si="27"/>
        <v>122646.35799999999</v>
      </c>
      <c r="O352" s="10">
        <f t="shared" si="28"/>
        <v>113268.598</v>
      </c>
      <c r="P352" s="9" t="str">
        <f t="shared" si="29"/>
        <v>OK</v>
      </c>
      <c r="Q352" s="9" t="str">
        <f>INDEX(Crops!$B$2:$B$7,MATCH(D352,Crops!$A$2:$A$7,0))</f>
        <v>Cassava</v>
      </c>
      <c r="R352" s="9" t="str">
        <f>INDEX(Districts!$B$2:$B$6,MATCH(C352,Districts!$A$2:$A$6,0))</f>
        <v>Tamale Metro</v>
      </c>
    </row>
    <row r="353" spans="1:18">
      <c r="A353" t="s">
        <v>236</v>
      </c>
      <c r="B353" s="4">
        <v>46118</v>
      </c>
      <c r="C353" t="s">
        <v>53</v>
      </c>
      <c r="D353" t="s">
        <v>41</v>
      </c>
      <c r="E353">
        <v>4.5999999999999996</v>
      </c>
      <c r="F353">
        <v>23169.599999999999</v>
      </c>
      <c r="G353">
        <v>1960</v>
      </c>
      <c r="H353">
        <v>21209.599999999999</v>
      </c>
      <c r="I353" t="s">
        <v>65</v>
      </c>
      <c r="J353">
        <v>2.2999999999999998</v>
      </c>
      <c r="K353">
        <v>3628.77</v>
      </c>
      <c r="L353">
        <f t="shared" si="25"/>
        <v>5036.869565217391</v>
      </c>
      <c r="M353" s="8">
        <f t="shared" si="26"/>
        <v>8.4593605413990747E-2</v>
      </c>
      <c r="N353" s="10">
        <f t="shared" si="27"/>
        <v>48782.079999999994</v>
      </c>
      <c r="O353" s="10">
        <f t="shared" si="28"/>
        <v>45153.31</v>
      </c>
      <c r="P353" s="9" t="str">
        <f t="shared" si="29"/>
        <v>OK</v>
      </c>
      <c r="Q353" s="9" t="str">
        <f>INDEX(Crops!$B$2:$B$7,MATCH(D353,Crops!$A$2:$A$7,0))</f>
        <v>Cassava</v>
      </c>
      <c r="R353" s="9" t="str">
        <f>INDEX(Districts!$B$2:$B$6,MATCH(C353,Districts!$A$2:$A$6,0))</f>
        <v>Hohoe</v>
      </c>
    </row>
    <row r="354" spans="1:18">
      <c r="A354" t="s">
        <v>79</v>
      </c>
      <c r="B354" s="4">
        <v>46130</v>
      </c>
      <c r="C354" t="s">
        <v>53</v>
      </c>
      <c r="D354" t="s">
        <v>35</v>
      </c>
      <c r="E354">
        <v>14.8</v>
      </c>
      <c r="F354">
        <v>139776.70000000001</v>
      </c>
      <c r="G354">
        <v>7447.3</v>
      </c>
      <c r="H354">
        <v>132329.4</v>
      </c>
      <c r="I354" t="s">
        <v>142</v>
      </c>
      <c r="J354">
        <v>7.03</v>
      </c>
      <c r="K354">
        <v>20801.72</v>
      </c>
      <c r="L354">
        <f t="shared" si="25"/>
        <v>9444.3716216216217</v>
      </c>
      <c r="M354" s="8">
        <f t="shared" si="26"/>
        <v>5.3279981570605109E-2</v>
      </c>
      <c r="N354" s="10">
        <f t="shared" si="27"/>
        <v>930275.68200000003</v>
      </c>
      <c r="O354" s="10">
        <f t="shared" si="28"/>
        <v>909473.96200000006</v>
      </c>
      <c r="P354" s="9" t="str">
        <f t="shared" si="29"/>
        <v>OK</v>
      </c>
      <c r="Q354" s="9" t="str">
        <f>INDEX(Crops!$B$2:$B$7,MATCH(D354,Crops!$A$2:$A$7,0))</f>
        <v>Tomato</v>
      </c>
      <c r="R354" s="9" t="str">
        <f>INDEX(Districts!$B$2:$B$6,MATCH(C354,Districts!$A$2:$A$6,0))</f>
        <v>Hohoe</v>
      </c>
    </row>
    <row r="355" spans="1:18">
      <c r="A355" t="s">
        <v>79</v>
      </c>
      <c r="B355" s="4">
        <v>46040</v>
      </c>
      <c r="C355" t="s">
        <v>51</v>
      </c>
      <c r="D355" t="s">
        <v>33</v>
      </c>
      <c r="E355">
        <v>7.7</v>
      </c>
      <c r="F355">
        <v>21879.599999999999</v>
      </c>
      <c r="G355">
        <v>1850.5</v>
      </c>
      <c r="H355">
        <v>20029.099999999999</v>
      </c>
      <c r="I355" t="s">
        <v>70</v>
      </c>
      <c r="J355">
        <v>6.04</v>
      </c>
      <c r="K355">
        <v>13027.43</v>
      </c>
      <c r="L355">
        <f t="shared" si="25"/>
        <v>2841.5064935064934</v>
      </c>
      <c r="M355" s="8">
        <f t="shared" si="26"/>
        <v>8.4576500484469561E-2</v>
      </c>
      <c r="N355" s="10">
        <f t="shared" si="27"/>
        <v>120975.764</v>
      </c>
      <c r="O355" s="10">
        <f t="shared" si="28"/>
        <v>107948.334</v>
      </c>
      <c r="P355" s="9" t="str">
        <f t="shared" si="29"/>
        <v>OK</v>
      </c>
      <c r="Q355" s="9" t="str">
        <f>INDEX(Crops!$B$2:$B$7,MATCH(D355,Crops!$A$2:$A$7,0))</f>
        <v>Rice</v>
      </c>
      <c r="R355" s="9" t="str">
        <f>INDEX(Districts!$B$2:$B$6,MATCH(C355,Districts!$A$2:$A$6,0))</f>
        <v>Kintampo</v>
      </c>
    </row>
    <row r="356" spans="1:18">
      <c r="A356" t="s">
        <v>183</v>
      </c>
      <c r="B356" s="4">
        <v>46187</v>
      </c>
      <c r="C356" t="s">
        <v>45</v>
      </c>
      <c r="D356" t="s">
        <v>41</v>
      </c>
      <c r="E356">
        <v>13.4</v>
      </c>
      <c r="F356">
        <v>107241.2</v>
      </c>
      <c r="G356">
        <v>6516.6</v>
      </c>
      <c r="H356">
        <v>100724.6</v>
      </c>
      <c r="I356" t="s">
        <v>70</v>
      </c>
      <c r="J356">
        <v>2.29</v>
      </c>
      <c r="K356">
        <v>23779.759999999998</v>
      </c>
      <c r="L356">
        <f t="shared" si="25"/>
        <v>8003.0746268656712</v>
      </c>
      <c r="M356" s="8">
        <f t="shared" si="26"/>
        <v>6.076582507469145E-2</v>
      </c>
      <c r="N356" s="10">
        <f t="shared" si="27"/>
        <v>230659.334</v>
      </c>
      <c r="O356" s="10">
        <f t="shared" si="28"/>
        <v>206879.57399999999</v>
      </c>
      <c r="P356" s="9" t="str">
        <f t="shared" si="29"/>
        <v>OK</v>
      </c>
      <c r="Q356" s="9" t="str">
        <f>INDEX(Crops!$B$2:$B$7,MATCH(D356,Crops!$A$2:$A$7,0))</f>
        <v>Cassava</v>
      </c>
      <c r="R356" s="9" t="str">
        <f>INDEX(Districts!$B$2:$B$6,MATCH(C356,Districts!$A$2:$A$6,0))</f>
        <v>Ejura</v>
      </c>
    </row>
    <row r="357" spans="1:18">
      <c r="A357" t="s">
        <v>237</v>
      </c>
      <c r="B357" s="4">
        <v>45856</v>
      </c>
      <c r="C357" t="s">
        <v>49</v>
      </c>
      <c r="D357" t="s">
        <v>35</v>
      </c>
      <c r="E357">
        <v>11.5</v>
      </c>
      <c r="F357">
        <v>85031.7</v>
      </c>
      <c r="G357">
        <v>4214.2</v>
      </c>
      <c r="H357">
        <v>80817.5</v>
      </c>
      <c r="I357" t="s">
        <v>70</v>
      </c>
      <c r="J357">
        <v>5.73</v>
      </c>
      <c r="K357">
        <v>16161.1</v>
      </c>
      <c r="L357">
        <f t="shared" si="25"/>
        <v>7394.0608695652172</v>
      </c>
      <c r="M357" s="8">
        <f t="shared" si="26"/>
        <v>4.9560340437742628E-2</v>
      </c>
      <c r="N357" s="10">
        <f t="shared" si="27"/>
        <v>463084.27500000002</v>
      </c>
      <c r="O357" s="10">
        <f t="shared" si="28"/>
        <v>446923.17500000005</v>
      </c>
      <c r="P357" s="9" t="str">
        <f t="shared" si="29"/>
        <v>OK</v>
      </c>
      <c r="Q357" s="9" t="str">
        <f>INDEX(Crops!$B$2:$B$7,MATCH(D357,Crops!$A$2:$A$7,0))</f>
        <v>Tomato</v>
      </c>
      <c r="R357" s="9" t="str">
        <f>INDEX(Districts!$B$2:$B$6,MATCH(C357,Districts!$A$2:$A$6,0))</f>
        <v>Tamale Metro</v>
      </c>
    </row>
    <row r="358" spans="1:18">
      <c r="A358" t="s">
        <v>215</v>
      </c>
      <c r="B358" s="4">
        <v>46103</v>
      </c>
      <c r="C358" t="s">
        <v>53</v>
      </c>
      <c r="D358" t="s">
        <v>35</v>
      </c>
      <c r="E358">
        <v>3.9</v>
      </c>
      <c r="F358">
        <v>37674.1</v>
      </c>
      <c r="G358">
        <v>5118.8</v>
      </c>
      <c r="H358">
        <v>32555.3</v>
      </c>
      <c r="I358" t="s">
        <v>77</v>
      </c>
      <c r="J358">
        <v>7.77</v>
      </c>
      <c r="K358">
        <v>5793.22</v>
      </c>
      <c r="L358">
        <f t="shared" si="25"/>
        <v>9660.0256410256407</v>
      </c>
      <c r="M358" s="8">
        <f t="shared" si="26"/>
        <v>0.13587053174462033</v>
      </c>
      <c r="N358" s="10">
        <f t="shared" si="27"/>
        <v>252954.68099999998</v>
      </c>
      <c r="O358" s="10">
        <f t="shared" si="28"/>
        <v>247161.46099999998</v>
      </c>
      <c r="P358" s="9" t="str">
        <f t="shared" si="29"/>
        <v>OK</v>
      </c>
      <c r="Q358" s="9" t="str">
        <f>INDEX(Crops!$B$2:$B$7,MATCH(D358,Crops!$A$2:$A$7,0))</f>
        <v>Tomato</v>
      </c>
      <c r="R358" s="9" t="str">
        <f>INDEX(Districts!$B$2:$B$6,MATCH(C358,Districts!$A$2:$A$6,0))</f>
        <v>Hohoe</v>
      </c>
    </row>
    <row r="359" spans="1:18">
      <c r="A359" t="s">
        <v>183</v>
      </c>
      <c r="B359" s="4">
        <v>46151</v>
      </c>
      <c r="C359" t="s">
        <v>45</v>
      </c>
      <c r="D359" t="s">
        <v>41</v>
      </c>
      <c r="E359">
        <v>2.6</v>
      </c>
      <c r="F359">
        <v>18200.400000000001</v>
      </c>
      <c r="G359">
        <v>686.5</v>
      </c>
      <c r="H359">
        <v>17513.900000000001</v>
      </c>
      <c r="I359" t="s">
        <v>65</v>
      </c>
      <c r="J359">
        <v>2.31</v>
      </c>
      <c r="K359">
        <v>4370.71</v>
      </c>
      <c r="L359">
        <f t="shared" si="25"/>
        <v>7000.1538461538466</v>
      </c>
      <c r="M359" s="8">
        <f t="shared" si="26"/>
        <v>3.7718951231841054E-2</v>
      </c>
      <c r="N359" s="10">
        <f t="shared" si="27"/>
        <v>40457.109000000004</v>
      </c>
      <c r="O359" s="10">
        <f t="shared" si="28"/>
        <v>36086.399000000005</v>
      </c>
      <c r="P359" s="9" t="str">
        <f t="shared" si="29"/>
        <v>OK</v>
      </c>
      <c r="Q359" s="9" t="str">
        <f>INDEX(Crops!$B$2:$B$7,MATCH(D359,Crops!$A$2:$A$7,0))</f>
        <v>Cassava</v>
      </c>
      <c r="R359" s="9" t="str">
        <f>INDEX(Districts!$B$2:$B$6,MATCH(C359,Districts!$A$2:$A$6,0))</f>
        <v>Ejura</v>
      </c>
    </row>
    <row r="360" spans="1:18">
      <c r="A360" t="s">
        <v>117</v>
      </c>
      <c r="B360" s="4">
        <v>46154</v>
      </c>
      <c r="C360" t="s">
        <v>49</v>
      </c>
      <c r="D360" t="s">
        <v>37</v>
      </c>
      <c r="E360">
        <v>1.8</v>
      </c>
      <c r="F360">
        <v>9212.2000000000007</v>
      </c>
      <c r="G360">
        <v>295.10000000000002</v>
      </c>
      <c r="H360">
        <v>8917.1</v>
      </c>
      <c r="I360" t="s">
        <v>70</v>
      </c>
      <c r="J360">
        <v>8.36</v>
      </c>
      <c r="K360">
        <v>2707.91</v>
      </c>
      <c r="L360">
        <f t="shared" si="25"/>
        <v>5117.8888888888896</v>
      </c>
      <c r="M360" s="8">
        <f t="shared" si="26"/>
        <v>3.2033607607303359E-2</v>
      </c>
      <c r="N360" s="10">
        <f t="shared" si="27"/>
        <v>74546.955999999991</v>
      </c>
      <c r="O360" s="10">
        <f t="shared" si="28"/>
        <v>71839.045999999988</v>
      </c>
      <c r="P360" s="9" t="str">
        <f t="shared" si="29"/>
        <v>OK</v>
      </c>
      <c r="Q360" s="9" t="str">
        <f>INDEX(Crops!$B$2:$B$7,MATCH(D360,Crops!$A$2:$A$7,0))</f>
        <v>Pepper</v>
      </c>
      <c r="R360" s="9" t="str">
        <f>INDEX(Districts!$B$2:$B$6,MATCH(C360,Districts!$A$2:$A$6,0))</f>
        <v>Tamale Metro</v>
      </c>
    </row>
    <row r="361" spans="1:18">
      <c r="A361" t="s">
        <v>130</v>
      </c>
      <c r="B361" s="4">
        <v>46204</v>
      </c>
      <c r="C361" t="s">
        <v>49</v>
      </c>
      <c r="D361" t="s">
        <v>33</v>
      </c>
      <c r="E361">
        <v>2.5</v>
      </c>
      <c r="F361">
        <v>5470</v>
      </c>
      <c r="G361">
        <v>551.6</v>
      </c>
      <c r="H361">
        <v>4918.3999999999996</v>
      </c>
      <c r="I361" t="s">
        <v>67</v>
      </c>
      <c r="J361">
        <v>5.65</v>
      </c>
      <c r="K361">
        <v>3434.21</v>
      </c>
      <c r="L361">
        <f t="shared" si="25"/>
        <v>2188</v>
      </c>
      <c r="M361" s="8">
        <f t="shared" si="26"/>
        <v>0.10084095063985375</v>
      </c>
      <c r="N361" s="10">
        <f t="shared" si="27"/>
        <v>27788.959999999999</v>
      </c>
      <c r="O361" s="10">
        <f t="shared" si="28"/>
        <v>24354.75</v>
      </c>
      <c r="P361" s="9" t="str">
        <f t="shared" si="29"/>
        <v>OK</v>
      </c>
      <c r="Q361" s="9" t="str">
        <f>INDEX(Crops!$B$2:$B$7,MATCH(D361,Crops!$A$2:$A$7,0))</f>
        <v>Rice</v>
      </c>
      <c r="R361" s="9" t="str">
        <f>INDEX(Districts!$B$2:$B$6,MATCH(C361,Districts!$A$2:$A$6,0))</f>
        <v>Tamale Metro</v>
      </c>
    </row>
    <row r="362" spans="1:18">
      <c r="A362" t="s">
        <v>219</v>
      </c>
      <c r="B362" s="4">
        <v>45873</v>
      </c>
      <c r="C362" t="s">
        <v>51</v>
      </c>
      <c r="D362" t="s">
        <v>37</v>
      </c>
      <c r="E362">
        <v>10.3</v>
      </c>
      <c r="F362">
        <v>45761.8</v>
      </c>
      <c r="G362">
        <v>5389.7</v>
      </c>
      <c r="H362">
        <v>40372.1</v>
      </c>
      <c r="I362" t="s">
        <v>65</v>
      </c>
      <c r="J362">
        <v>10.69</v>
      </c>
      <c r="K362">
        <v>13176</v>
      </c>
      <c r="L362">
        <f t="shared" si="25"/>
        <v>4442.8932038834955</v>
      </c>
      <c r="M362" s="8">
        <f t="shared" si="26"/>
        <v>0.11777727274713844</v>
      </c>
      <c r="N362" s="10">
        <f t="shared" si="27"/>
        <v>431577.74899999995</v>
      </c>
      <c r="O362" s="10">
        <f t="shared" si="28"/>
        <v>418401.74899999995</v>
      </c>
      <c r="P362" s="9" t="str">
        <f t="shared" si="29"/>
        <v>OK</v>
      </c>
      <c r="Q362" s="9" t="str">
        <f>INDEX(Crops!$B$2:$B$7,MATCH(D362,Crops!$A$2:$A$7,0))</f>
        <v>Pepper</v>
      </c>
      <c r="R362" s="9" t="str">
        <f>INDEX(Districts!$B$2:$B$6,MATCH(C362,Districts!$A$2:$A$6,0))</f>
        <v>Kintampo</v>
      </c>
    </row>
    <row r="363" spans="1:18">
      <c r="A363" t="s">
        <v>74</v>
      </c>
      <c r="B363" s="4">
        <v>46108</v>
      </c>
      <c r="C363" t="s">
        <v>47</v>
      </c>
      <c r="D363" t="s">
        <v>35</v>
      </c>
      <c r="E363">
        <v>9.6999999999999993</v>
      </c>
      <c r="F363">
        <v>56178.400000000001</v>
      </c>
      <c r="G363">
        <v>5574.2</v>
      </c>
      <c r="H363">
        <v>50604.2</v>
      </c>
      <c r="I363" t="s">
        <v>67</v>
      </c>
      <c r="J363">
        <v>5.8</v>
      </c>
      <c r="K363">
        <v>15095.59</v>
      </c>
      <c r="L363">
        <f t="shared" si="25"/>
        <v>5791.5876288659802</v>
      </c>
      <c r="M363" s="8">
        <f t="shared" si="26"/>
        <v>9.9223188983666319E-2</v>
      </c>
      <c r="N363" s="10">
        <f t="shared" si="27"/>
        <v>293504.36</v>
      </c>
      <c r="O363" s="10">
        <f t="shared" si="28"/>
        <v>278408.76999999996</v>
      </c>
      <c r="P363" s="9" t="str">
        <f t="shared" si="29"/>
        <v>OK</v>
      </c>
      <c r="Q363" s="9" t="str">
        <f>INDEX(Crops!$B$2:$B$7,MATCH(D363,Crops!$A$2:$A$7,0))</f>
        <v>Tomato</v>
      </c>
      <c r="R363" s="9" t="str">
        <f>INDEX(Districts!$B$2:$B$6,MATCH(C363,Districts!$A$2:$A$6,0))</f>
        <v>Techiman</v>
      </c>
    </row>
    <row r="364" spans="1:18">
      <c r="A364" t="s">
        <v>102</v>
      </c>
      <c r="B364" s="4">
        <v>46013</v>
      </c>
      <c r="C364" t="s">
        <v>45</v>
      </c>
      <c r="D364" t="s">
        <v>35</v>
      </c>
      <c r="E364">
        <v>14</v>
      </c>
      <c r="F364">
        <v>84366</v>
      </c>
      <c r="G364">
        <v>9444.2000000000007</v>
      </c>
      <c r="H364">
        <v>74921.8</v>
      </c>
      <c r="I364" t="s">
        <v>67</v>
      </c>
      <c r="J364">
        <v>6.11</v>
      </c>
      <c r="K364">
        <v>20342.13</v>
      </c>
      <c r="L364">
        <f t="shared" si="25"/>
        <v>6026.1428571428569</v>
      </c>
      <c r="M364" s="8">
        <f t="shared" si="26"/>
        <v>0.1119431998672451</v>
      </c>
      <c r="N364" s="10">
        <f t="shared" si="27"/>
        <v>457772.19800000003</v>
      </c>
      <c r="O364" s="10">
        <f t="shared" si="28"/>
        <v>437430.06800000003</v>
      </c>
      <c r="P364" s="9" t="str">
        <f t="shared" si="29"/>
        <v>OK</v>
      </c>
      <c r="Q364" s="9" t="str">
        <f>INDEX(Crops!$B$2:$B$7,MATCH(D364,Crops!$A$2:$A$7,0))</f>
        <v>Tomato</v>
      </c>
      <c r="R364" s="9" t="str">
        <f>INDEX(Districts!$B$2:$B$6,MATCH(C364,Districts!$A$2:$A$6,0))</f>
        <v>Ejura</v>
      </c>
    </row>
    <row r="365" spans="1:18">
      <c r="A365" t="s">
        <v>84</v>
      </c>
      <c r="B365" s="4">
        <v>45948</v>
      </c>
      <c r="C365" t="s">
        <v>49</v>
      </c>
      <c r="D365" t="s">
        <v>33</v>
      </c>
      <c r="E365">
        <v>14</v>
      </c>
      <c r="F365">
        <v>39136.1</v>
      </c>
      <c r="G365">
        <v>3149.9</v>
      </c>
      <c r="H365">
        <v>35986.199999999997</v>
      </c>
      <c r="I365" t="s">
        <v>142</v>
      </c>
      <c r="J365">
        <v>6.67</v>
      </c>
      <c r="K365">
        <v>13969.14</v>
      </c>
      <c r="L365">
        <f t="shared" si="25"/>
        <v>2795.4357142857143</v>
      </c>
      <c r="M365" s="8">
        <f t="shared" si="26"/>
        <v>8.0485791890351877E-2</v>
      </c>
      <c r="N365" s="10">
        <f t="shared" si="27"/>
        <v>240027.95399999997</v>
      </c>
      <c r="O365" s="10">
        <f t="shared" si="28"/>
        <v>226058.81399999995</v>
      </c>
      <c r="P365" s="9" t="str">
        <f t="shared" si="29"/>
        <v>OK</v>
      </c>
      <c r="Q365" s="9" t="str">
        <f>INDEX(Crops!$B$2:$B$7,MATCH(D365,Crops!$A$2:$A$7,0))</f>
        <v>Rice</v>
      </c>
      <c r="R365" s="9" t="str">
        <f>INDEX(Districts!$B$2:$B$6,MATCH(C365,Districts!$A$2:$A$6,0))</f>
        <v>Tamale Metro</v>
      </c>
    </row>
    <row r="366" spans="1:18">
      <c r="A366" t="s">
        <v>189</v>
      </c>
      <c r="B366" s="4">
        <v>45867</v>
      </c>
      <c r="C366" t="s">
        <v>53</v>
      </c>
      <c r="D366" t="s">
        <v>35</v>
      </c>
      <c r="E366">
        <v>9.5</v>
      </c>
      <c r="F366">
        <v>52020.2</v>
      </c>
      <c r="G366">
        <v>3904.6</v>
      </c>
      <c r="H366">
        <v>48115.6</v>
      </c>
      <c r="I366" t="s">
        <v>77</v>
      </c>
      <c r="J366">
        <v>6.41</v>
      </c>
      <c r="K366">
        <v>10286.07</v>
      </c>
      <c r="L366">
        <f t="shared" si="25"/>
        <v>5475.8105263157895</v>
      </c>
      <c r="M366" s="8">
        <f t="shared" si="26"/>
        <v>7.5059303885798206E-2</v>
      </c>
      <c r="N366" s="10">
        <f t="shared" si="27"/>
        <v>308420.99599999998</v>
      </c>
      <c r="O366" s="10">
        <f t="shared" si="28"/>
        <v>298134.92599999998</v>
      </c>
      <c r="P366" s="9" t="str">
        <f t="shared" si="29"/>
        <v>OK</v>
      </c>
      <c r="Q366" s="9" t="str">
        <f>INDEX(Crops!$B$2:$B$7,MATCH(D366,Crops!$A$2:$A$7,0))</f>
        <v>Tomato</v>
      </c>
      <c r="R366" s="9" t="str">
        <f>INDEX(Districts!$B$2:$B$6,MATCH(C366,Districts!$A$2:$A$6,0))</f>
        <v>Hohoe</v>
      </c>
    </row>
    <row r="367" spans="1:18">
      <c r="A367" t="s">
        <v>195</v>
      </c>
      <c r="B367" s="4">
        <v>46137</v>
      </c>
      <c r="C367" t="s">
        <v>53</v>
      </c>
      <c r="D367" t="s">
        <v>37</v>
      </c>
      <c r="E367">
        <v>2.8</v>
      </c>
      <c r="F367">
        <v>12294.5</v>
      </c>
      <c r="G367">
        <v>1798.7</v>
      </c>
      <c r="H367">
        <v>10495.8</v>
      </c>
      <c r="I367" t="s">
        <v>77</v>
      </c>
      <c r="J367">
        <v>8.94</v>
      </c>
      <c r="K367">
        <v>2861.38</v>
      </c>
      <c r="L367">
        <f t="shared" si="25"/>
        <v>4390.8928571428578</v>
      </c>
      <c r="M367" s="8">
        <f t="shared" si="26"/>
        <v>0.14630119158973526</v>
      </c>
      <c r="N367" s="10">
        <f t="shared" si="27"/>
        <v>93832.45199999999</v>
      </c>
      <c r="O367" s="10">
        <f t="shared" si="28"/>
        <v>90971.071999999986</v>
      </c>
      <c r="P367" s="9" t="str">
        <f t="shared" si="29"/>
        <v>OK</v>
      </c>
      <c r="Q367" s="9" t="str">
        <f>INDEX(Crops!$B$2:$B$7,MATCH(D367,Crops!$A$2:$A$7,0))</f>
        <v>Pepper</v>
      </c>
      <c r="R367" s="9" t="str">
        <f>INDEX(Districts!$B$2:$B$6,MATCH(C367,Districts!$A$2:$A$6,0))</f>
        <v>Hohoe</v>
      </c>
    </row>
    <row r="368" spans="1:18">
      <c r="A368" t="s">
        <v>197</v>
      </c>
      <c r="B368" s="4">
        <v>46094</v>
      </c>
      <c r="C368" t="s">
        <v>53</v>
      </c>
      <c r="D368" t="s">
        <v>33</v>
      </c>
      <c r="E368">
        <v>5.3</v>
      </c>
      <c r="F368">
        <v>12546.2</v>
      </c>
      <c r="G368">
        <v>736.1</v>
      </c>
      <c r="H368">
        <v>11810.1</v>
      </c>
      <c r="I368" t="s">
        <v>70</v>
      </c>
      <c r="J368">
        <v>6.27</v>
      </c>
      <c r="K368">
        <v>4841.7700000000004</v>
      </c>
      <c r="L368">
        <f t="shared" si="25"/>
        <v>2367.2075471698117</v>
      </c>
      <c r="M368" s="8">
        <f t="shared" si="26"/>
        <v>5.8671151424335655E-2</v>
      </c>
      <c r="N368" s="10">
        <f t="shared" si="27"/>
        <v>74049.32699999999</v>
      </c>
      <c r="O368" s="10">
        <f t="shared" si="28"/>
        <v>69207.556999999986</v>
      </c>
      <c r="P368" s="9" t="str">
        <f t="shared" si="29"/>
        <v>OK</v>
      </c>
      <c r="Q368" s="9" t="str">
        <f>INDEX(Crops!$B$2:$B$7,MATCH(D368,Crops!$A$2:$A$7,0))</f>
        <v>Rice</v>
      </c>
      <c r="R368" s="9" t="str">
        <f>INDEX(Districts!$B$2:$B$6,MATCH(C368,Districts!$A$2:$A$6,0))</f>
        <v>Hohoe</v>
      </c>
    </row>
    <row r="369" spans="1:18">
      <c r="A369" t="s">
        <v>177</v>
      </c>
      <c r="B369" s="4">
        <v>46143</v>
      </c>
      <c r="C369" t="s">
        <v>49</v>
      </c>
      <c r="D369" t="s">
        <v>35</v>
      </c>
      <c r="E369">
        <v>12.3</v>
      </c>
      <c r="F369">
        <v>96242.9</v>
      </c>
      <c r="G369">
        <v>11240</v>
      </c>
      <c r="H369">
        <v>85002.9</v>
      </c>
      <c r="I369" t="s">
        <v>70</v>
      </c>
      <c r="J369">
        <v>7.46</v>
      </c>
      <c r="K369">
        <v>21472.43</v>
      </c>
      <c r="L369">
        <f t="shared" si="25"/>
        <v>7824.626016260162</v>
      </c>
      <c r="M369" s="8">
        <f t="shared" si="26"/>
        <v>0.11678783577801584</v>
      </c>
      <c r="N369" s="10">
        <f t="shared" si="27"/>
        <v>634121.63399999996</v>
      </c>
      <c r="O369" s="10">
        <f t="shared" si="28"/>
        <v>612649.20399999991</v>
      </c>
      <c r="P369" s="9" t="str">
        <f t="shared" si="29"/>
        <v>OK</v>
      </c>
      <c r="Q369" s="9" t="str">
        <f>INDEX(Crops!$B$2:$B$7,MATCH(D369,Crops!$A$2:$A$7,0))</f>
        <v>Tomato</v>
      </c>
      <c r="R369" s="9" t="str">
        <f>INDEX(Districts!$B$2:$B$6,MATCH(C369,Districts!$A$2:$A$6,0))</f>
        <v>Tamale Metro</v>
      </c>
    </row>
    <row r="370" spans="1:18">
      <c r="A370" t="s">
        <v>171</v>
      </c>
      <c r="B370" s="4">
        <v>45839</v>
      </c>
      <c r="C370" t="s">
        <v>51</v>
      </c>
      <c r="D370" t="s">
        <v>33</v>
      </c>
      <c r="E370">
        <v>9.4</v>
      </c>
      <c r="F370">
        <v>21185.9</v>
      </c>
      <c r="G370">
        <v>849.7</v>
      </c>
      <c r="H370">
        <v>20336.2</v>
      </c>
      <c r="I370" t="s">
        <v>70</v>
      </c>
      <c r="J370">
        <v>6.83</v>
      </c>
      <c r="K370">
        <v>12329.66</v>
      </c>
      <c r="L370">
        <f t="shared" si="25"/>
        <v>2253.8191489361702</v>
      </c>
      <c r="M370" s="8">
        <f t="shared" si="26"/>
        <v>4.0106863527157213E-2</v>
      </c>
      <c r="N370" s="10">
        <f t="shared" si="27"/>
        <v>138896.24600000001</v>
      </c>
      <c r="O370" s="10">
        <f t="shared" si="28"/>
        <v>126566.58600000001</v>
      </c>
      <c r="P370" s="9" t="str">
        <f t="shared" si="29"/>
        <v>OK</v>
      </c>
      <c r="Q370" s="9" t="str">
        <f>INDEX(Crops!$B$2:$B$7,MATCH(D370,Crops!$A$2:$A$7,0))</f>
        <v>Rice</v>
      </c>
      <c r="R370" s="9" t="str">
        <f>INDEX(Districts!$B$2:$B$6,MATCH(C370,Districts!$A$2:$A$6,0))</f>
        <v>Kintampo</v>
      </c>
    </row>
    <row r="371" spans="1:18">
      <c r="A371" t="s">
        <v>187</v>
      </c>
      <c r="B371" s="4">
        <v>46089</v>
      </c>
      <c r="C371" t="s">
        <v>53</v>
      </c>
      <c r="D371" t="s">
        <v>37</v>
      </c>
      <c r="E371">
        <v>7.5</v>
      </c>
      <c r="F371">
        <v>46005</v>
      </c>
      <c r="G371">
        <v>5564.4</v>
      </c>
      <c r="H371">
        <v>40440.6</v>
      </c>
      <c r="I371" t="s">
        <v>65</v>
      </c>
      <c r="J371">
        <v>9.27</v>
      </c>
      <c r="K371">
        <v>13463.47</v>
      </c>
      <c r="L371">
        <f t="shared" si="25"/>
        <v>6134</v>
      </c>
      <c r="M371" s="8">
        <f t="shared" si="26"/>
        <v>0.12095207042712748</v>
      </c>
      <c r="N371" s="10">
        <f t="shared" si="27"/>
        <v>374884.36199999996</v>
      </c>
      <c r="O371" s="10">
        <f t="shared" si="28"/>
        <v>361420.89199999999</v>
      </c>
      <c r="P371" s="9" t="str">
        <f t="shared" si="29"/>
        <v>OK</v>
      </c>
      <c r="Q371" s="9" t="str">
        <f>INDEX(Crops!$B$2:$B$7,MATCH(D371,Crops!$A$2:$A$7,0))</f>
        <v>Pepper</v>
      </c>
      <c r="R371" s="9" t="str">
        <f>INDEX(Districts!$B$2:$B$6,MATCH(C371,Districts!$A$2:$A$6,0))</f>
        <v>Hohoe</v>
      </c>
    </row>
    <row r="372" spans="1:18">
      <c r="A372" t="s">
        <v>131</v>
      </c>
      <c r="B372" s="4">
        <v>46167</v>
      </c>
      <c r="C372" t="s">
        <v>47</v>
      </c>
      <c r="D372" t="s">
        <v>35</v>
      </c>
      <c r="E372">
        <v>10.3</v>
      </c>
      <c r="F372">
        <v>84021.9</v>
      </c>
      <c r="G372">
        <v>3521.8</v>
      </c>
      <c r="H372">
        <v>80500.100000000006</v>
      </c>
      <c r="I372" t="s">
        <v>67</v>
      </c>
      <c r="J372">
        <v>5.58</v>
      </c>
      <c r="K372">
        <v>15870.77</v>
      </c>
      <c r="L372">
        <f t="shared" si="25"/>
        <v>8157.4660194174749</v>
      </c>
      <c r="M372" s="8">
        <f t="shared" si="26"/>
        <v>4.1915262568449421E-2</v>
      </c>
      <c r="N372" s="10">
        <f t="shared" si="27"/>
        <v>449190.55800000002</v>
      </c>
      <c r="O372" s="10">
        <f t="shared" si="28"/>
        <v>433319.788</v>
      </c>
      <c r="P372" s="9" t="str">
        <f t="shared" si="29"/>
        <v>OK</v>
      </c>
      <c r="Q372" s="9" t="str">
        <f>INDEX(Crops!$B$2:$B$7,MATCH(D372,Crops!$A$2:$A$7,0))</f>
        <v>Tomato</v>
      </c>
      <c r="R372" s="9" t="str">
        <f>INDEX(Districts!$B$2:$B$6,MATCH(C372,Districts!$A$2:$A$6,0))</f>
        <v>Techiman</v>
      </c>
    </row>
    <row r="373" spans="1:18">
      <c r="A373" t="s">
        <v>238</v>
      </c>
      <c r="B373" s="4">
        <v>46184</v>
      </c>
      <c r="C373" t="s">
        <v>51</v>
      </c>
      <c r="D373" t="s">
        <v>35</v>
      </c>
      <c r="E373">
        <v>8</v>
      </c>
      <c r="F373">
        <v>69553.600000000006</v>
      </c>
      <c r="G373">
        <v>2974.6</v>
      </c>
      <c r="H373">
        <v>66579</v>
      </c>
      <c r="I373" t="s">
        <v>65</v>
      </c>
      <c r="J373">
        <v>7.55</v>
      </c>
      <c r="K373">
        <v>14106.04</v>
      </c>
      <c r="L373">
        <f t="shared" si="25"/>
        <v>8694.2000000000007</v>
      </c>
      <c r="M373" s="8">
        <f t="shared" si="26"/>
        <v>4.2767017091854334E-2</v>
      </c>
      <c r="N373" s="10">
        <f t="shared" si="27"/>
        <v>502671.45</v>
      </c>
      <c r="O373" s="10">
        <f t="shared" si="28"/>
        <v>488565.41000000003</v>
      </c>
      <c r="P373" s="9" t="str">
        <f t="shared" si="29"/>
        <v>OK</v>
      </c>
      <c r="Q373" s="9" t="str">
        <f>INDEX(Crops!$B$2:$B$7,MATCH(D373,Crops!$A$2:$A$7,0))</f>
        <v>Tomato</v>
      </c>
      <c r="R373" s="9" t="str">
        <f>INDEX(Districts!$B$2:$B$6,MATCH(C373,Districts!$A$2:$A$6,0))</f>
        <v>Kintampo</v>
      </c>
    </row>
    <row r="374" spans="1:18">
      <c r="A374" t="s">
        <v>192</v>
      </c>
      <c r="B374" s="4">
        <v>45949</v>
      </c>
      <c r="C374" t="s">
        <v>53</v>
      </c>
      <c r="D374" t="s">
        <v>31</v>
      </c>
      <c r="E374">
        <v>1.8</v>
      </c>
      <c r="F374">
        <v>3089.1</v>
      </c>
      <c r="G374">
        <v>378.6</v>
      </c>
      <c r="H374">
        <v>2710.5</v>
      </c>
      <c r="I374" t="s">
        <v>77</v>
      </c>
      <c r="J374">
        <v>3.24</v>
      </c>
      <c r="K374">
        <v>1527.31</v>
      </c>
      <c r="L374">
        <f t="shared" si="25"/>
        <v>1716.1666666666665</v>
      </c>
      <c r="M374" s="8">
        <f t="shared" si="26"/>
        <v>0.12255996892298729</v>
      </c>
      <c r="N374" s="10">
        <f t="shared" si="27"/>
        <v>8782.02</v>
      </c>
      <c r="O374" s="10">
        <f t="shared" si="28"/>
        <v>7254.7100000000009</v>
      </c>
      <c r="P374" s="9" t="str">
        <f t="shared" si="29"/>
        <v>OK</v>
      </c>
      <c r="Q374" s="9" t="str">
        <f>INDEX(Crops!$B$2:$B$7,MATCH(D374,Crops!$A$2:$A$7,0))</f>
        <v>Maize</v>
      </c>
      <c r="R374" s="9" t="str">
        <f>INDEX(Districts!$B$2:$B$6,MATCH(C374,Districts!$A$2:$A$6,0))</f>
        <v>Hohoe</v>
      </c>
    </row>
    <row r="375" spans="1:18">
      <c r="A375" t="s">
        <v>212</v>
      </c>
      <c r="B375" s="4">
        <v>45946</v>
      </c>
      <c r="C375" t="s">
        <v>53</v>
      </c>
      <c r="D375" t="s">
        <v>31</v>
      </c>
      <c r="E375">
        <v>3.5</v>
      </c>
      <c r="F375">
        <v>5310.3</v>
      </c>
      <c r="G375">
        <v>813.2</v>
      </c>
      <c r="H375">
        <v>4497.1000000000004</v>
      </c>
      <c r="I375" t="s">
        <v>65</v>
      </c>
      <c r="J375">
        <v>2.92</v>
      </c>
      <c r="K375">
        <v>5904.06</v>
      </c>
      <c r="L375">
        <f t="shared" si="25"/>
        <v>1517.2285714285715</v>
      </c>
      <c r="M375" s="8">
        <f t="shared" si="26"/>
        <v>0.15313635764457753</v>
      </c>
      <c r="N375" s="10">
        <f t="shared" si="27"/>
        <v>13131.532000000001</v>
      </c>
      <c r="O375" s="10">
        <f t="shared" si="28"/>
        <v>7227.4720000000007</v>
      </c>
      <c r="P375" s="9" t="str">
        <f t="shared" si="29"/>
        <v>OK</v>
      </c>
      <c r="Q375" s="9" t="str">
        <f>INDEX(Crops!$B$2:$B$7,MATCH(D375,Crops!$A$2:$A$7,0))</f>
        <v>Maize</v>
      </c>
      <c r="R375" s="9" t="str">
        <f>INDEX(Districts!$B$2:$B$6,MATCH(C375,Districts!$A$2:$A$6,0))</f>
        <v>Hohoe</v>
      </c>
    </row>
    <row r="376" spans="1:18">
      <c r="A376" t="s">
        <v>201</v>
      </c>
      <c r="B376" s="4">
        <v>46006</v>
      </c>
      <c r="C376" t="s">
        <v>47</v>
      </c>
      <c r="D376" t="s">
        <v>33</v>
      </c>
      <c r="E376">
        <v>14.1</v>
      </c>
      <c r="F376">
        <v>31234.400000000001</v>
      </c>
      <c r="G376">
        <v>3098.3</v>
      </c>
      <c r="H376">
        <v>28136.1</v>
      </c>
      <c r="I376" t="s">
        <v>67</v>
      </c>
      <c r="J376">
        <v>6.7</v>
      </c>
      <c r="K376">
        <v>15391.94</v>
      </c>
      <c r="L376">
        <f t="shared" si="25"/>
        <v>2215.2056737588655</v>
      </c>
      <c r="M376" s="8">
        <f t="shared" si="26"/>
        <v>9.9195118203006943E-2</v>
      </c>
      <c r="N376" s="10">
        <f t="shared" si="27"/>
        <v>188511.87</v>
      </c>
      <c r="O376" s="10">
        <f t="shared" si="28"/>
        <v>173119.93</v>
      </c>
      <c r="P376" s="9" t="str">
        <f t="shared" si="29"/>
        <v>OK</v>
      </c>
      <c r="Q376" s="9" t="str">
        <f>INDEX(Crops!$B$2:$B$7,MATCH(D376,Crops!$A$2:$A$7,0))</f>
        <v>Rice</v>
      </c>
      <c r="R376" s="9" t="str">
        <f>INDEX(Districts!$B$2:$B$6,MATCH(C376,Districts!$A$2:$A$6,0))</f>
        <v>Techiman</v>
      </c>
    </row>
    <row r="377" spans="1:18">
      <c r="A377" t="s">
        <v>206</v>
      </c>
      <c r="B377" s="4">
        <v>46058</v>
      </c>
      <c r="C377" t="s">
        <v>49</v>
      </c>
      <c r="D377" t="s">
        <v>31</v>
      </c>
      <c r="E377">
        <v>2.1</v>
      </c>
      <c r="F377">
        <v>3030.5</v>
      </c>
      <c r="G377">
        <v>126.6</v>
      </c>
      <c r="H377">
        <v>2903.9</v>
      </c>
      <c r="I377" t="s">
        <v>77</v>
      </c>
      <c r="J377">
        <v>3.06</v>
      </c>
      <c r="K377">
        <v>1895.22</v>
      </c>
      <c r="L377">
        <f t="shared" si="25"/>
        <v>1443.0952380952381</v>
      </c>
      <c r="M377" s="8">
        <f t="shared" si="26"/>
        <v>4.1775284606500575E-2</v>
      </c>
      <c r="N377" s="10">
        <f t="shared" si="27"/>
        <v>8885.9340000000011</v>
      </c>
      <c r="O377" s="10">
        <f t="shared" si="28"/>
        <v>6990.7140000000009</v>
      </c>
      <c r="P377" s="9" t="str">
        <f t="shared" si="29"/>
        <v>OK</v>
      </c>
      <c r="Q377" s="9" t="str">
        <f>INDEX(Crops!$B$2:$B$7,MATCH(D377,Crops!$A$2:$A$7,0))</f>
        <v>Maize</v>
      </c>
      <c r="R377" s="9" t="str">
        <f>INDEX(Districts!$B$2:$B$6,MATCH(C377,Districts!$A$2:$A$6,0))</f>
        <v>Tamale Metro</v>
      </c>
    </row>
    <row r="378" spans="1:18">
      <c r="A378" t="s">
        <v>195</v>
      </c>
      <c r="B378" s="4">
        <v>45988</v>
      </c>
      <c r="C378" t="s">
        <v>53</v>
      </c>
      <c r="D378" t="s">
        <v>33</v>
      </c>
      <c r="E378">
        <v>1.1000000000000001</v>
      </c>
      <c r="F378">
        <v>3084.2</v>
      </c>
      <c r="G378">
        <v>327.7</v>
      </c>
      <c r="H378">
        <v>2756.5</v>
      </c>
      <c r="I378" t="s">
        <v>70</v>
      </c>
      <c r="J378">
        <v>5.26</v>
      </c>
      <c r="K378">
        <v>1180.44</v>
      </c>
      <c r="L378">
        <f t="shared" si="25"/>
        <v>2803.8181818181815</v>
      </c>
      <c r="M378" s="8">
        <f t="shared" si="26"/>
        <v>0.10625121587445691</v>
      </c>
      <c r="N378" s="10">
        <f t="shared" si="27"/>
        <v>14499.189999999999</v>
      </c>
      <c r="O378" s="10">
        <f t="shared" si="28"/>
        <v>13318.749999999998</v>
      </c>
      <c r="P378" s="9" t="str">
        <f t="shared" si="29"/>
        <v>OK</v>
      </c>
      <c r="Q378" s="9" t="str">
        <f>INDEX(Crops!$B$2:$B$7,MATCH(D378,Crops!$A$2:$A$7,0))</f>
        <v>Rice</v>
      </c>
      <c r="R378" s="9" t="str">
        <f>INDEX(Districts!$B$2:$B$6,MATCH(C378,Districts!$A$2:$A$6,0))</f>
        <v>Hohoe</v>
      </c>
    </row>
    <row r="379" spans="1:18">
      <c r="A379" t="s">
        <v>207</v>
      </c>
      <c r="B379" s="4">
        <v>46130</v>
      </c>
      <c r="C379" t="s">
        <v>53</v>
      </c>
      <c r="D379" t="s">
        <v>31</v>
      </c>
      <c r="E379">
        <v>11.6</v>
      </c>
      <c r="F379">
        <v>25344.9</v>
      </c>
      <c r="G379">
        <v>3132.6</v>
      </c>
      <c r="H379">
        <v>22212.3</v>
      </c>
      <c r="I379" t="s">
        <v>70</v>
      </c>
      <c r="J379">
        <v>3.49</v>
      </c>
      <c r="K379">
        <v>13989.22</v>
      </c>
      <c r="L379">
        <f t="shared" si="25"/>
        <v>2184.9051724137935</v>
      </c>
      <c r="M379" s="8">
        <f t="shared" si="26"/>
        <v>0.12359883053395357</v>
      </c>
      <c r="N379" s="10">
        <f t="shared" si="27"/>
        <v>77520.926999999996</v>
      </c>
      <c r="O379" s="10">
        <f t="shared" si="28"/>
        <v>63531.706999999995</v>
      </c>
      <c r="P379" s="9" t="str">
        <f t="shared" si="29"/>
        <v>OK</v>
      </c>
      <c r="Q379" s="9" t="str">
        <f>INDEX(Crops!$B$2:$B$7,MATCH(D379,Crops!$A$2:$A$7,0))</f>
        <v>Maize</v>
      </c>
      <c r="R379" s="9" t="str">
        <f>INDEX(Districts!$B$2:$B$6,MATCH(C379,Districts!$A$2:$A$6,0))</f>
        <v>Hohoe</v>
      </c>
    </row>
    <row r="380" spans="1:18">
      <c r="A380" t="s">
        <v>168</v>
      </c>
      <c r="B380" s="4">
        <v>46058</v>
      </c>
      <c r="C380" t="s">
        <v>51</v>
      </c>
      <c r="D380" t="s">
        <v>33</v>
      </c>
      <c r="E380">
        <v>9.3000000000000007</v>
      </c>
      <c r="F380">
        <v>25891.7</v>
      </c>
      <c r="G380">
        <v>1177.2</v>
      </c>
      <c r="H380">
        <v>24714.5</v>
      </c>
      <c r="I380" t="s">
        <v>70</v>
      </c>
      <c r="J380">
        <v>6.83</v>
      </c>
      <c r="K380">
        <v>7426.56</v>
      </c>
      <c r="L380">
        <f t="shared" si="25"/>
        <v>2784.0537634408602</v>
      </c>
      <c r="M380" s="8">
        <f t="shared" si="26"/>
        <v>4.5466307735683636E-2</v>
      </c>
      <c r="N380" s="10">
        <f t="shared" si="27"/>
        <v>168800.035</v>
      </c>
      <c r="O380" s="10">
        <f t="shared" si="28"/>
        <v>161373.47500000001</v>
      </c>
      <c r="P380" s="9" t="str">
        <f t="shared" si="29"/>
        <v>OK</v>
      </c>
      <c r="Q380" s="9" t="str">
        <f>INDEX(Crops!$B$2:$B$7,MATCH(D380,Crops!$A$2:$A$7,0))</f>
        <v>Rice</v>
      </c>
      <c r="R380" s="9" t="str">
        <f>INDEX(Districts!$B$2:$B$6,MATCH(C380,Districts!$A$2:$A$6,0))</f>
        <v>Kintampo</v>
      </c>
    </row>
    <row r="381" spans="1:18">
      <c r="A381" t="s">
        <v>239</v>
      </c>
      <c r="B381" s="4">
        <v>46092</v>
      </c>
      <c r="C381" t="s">
        <v>49</v>
      </c>
      <c r="D381" t="s">
        <v>33</v>
      </c>
      <c r="E381">
        <v>4.9000000000000004</v>
      </c>
      <c r="F381">
        <v>7898.6</v>
      </c>
      <c r="G381">
        <v>516.20000000000005</v>
      </c>
      <c r="H381">
        <v>7382.4</v>
      </c>
      <c r="I381" t="s">
        <v>67</v>
      </c>
      <c r="J381">
        <v>6.04</v>
      </c>
      <c r="K381">
        <v>8572.0499999999993</v>
      </c>
      <c r="L381">
        <f t="shared" si="25"/>
        <v>1611.9591836734694</v>
      </c>
      <c r="M381" s="8">
        <f t="shared" si="26"/>
        <v>6.5353353758893978E-2</v>
      </c>
      <c r="N381" s="10">
        <f t="shared" si="27"/>
        <v>44589.695999999996</v>
      </c>
      <c r="O381" s="10">
        <f t="shared" si="28"/>
        <v>36017.645999999993</v>
      </c>
      <c r="P381" s="9" t="str">
        <f t="shared" si="29"/>
        <v>OK</v>
      </c>
      <c r="Q381" s="9" t="str">
        <f>INDEX(Crops!$B$2:$B$7,MATCH(D381,Crops!$A$2:$A$7,0))</f>
        <v>Rice</v>
      </c>
      <c r="R381" s="9" t="str">
        <f>INDEX(Districts!$B$2:$B$6,MATCH(C381,Districts!$A$2:$A$6,0))</f>
        <v>Tamale Metro</v>
      </c>
    </row>
    <row r="382" spans="1:18">
      <c r="A382" t="s">
        <v>183</v>
      </c>
      <c r="B382" s="4">
        <v>46120</v>
      </c>
      <c r="C382" t="s">
        <v>49</v>
      </c>
      <c r="D382" t="s">
        <v>39</v>
      </c>
      <c r="E382">
        <v>5.7</v>
      </c>
      <c r="F382">
        <v>10477.4</v>
      </c>
      <c r="G382">
        <v>567.9</v>
      </c>
      <c r="H382">
        <v>9909.5</v>
      </c>
      <c r="I382" t="s">
        <v>77</v>
      </c>
      <c r="J382">
        <v>4.45</v>
      </c>
      <c r="K382">
        <v>8030.66</v>
      </c>
      <c r="L382">
        <f t="shared" si="25"/>
        <v>1838.1403508771928</v>
      </c>
      <c r="M382" s="8">
        <f t="shared" si="26"/>
        <v>5.4202378452669557E-2</v>
      </c>
      <c r="N382" s="10">
        <f t="shared" si="27"/>
        <v>44097.275000000001</v>
      </c>
      <c r="O382" s="10">
        <f t="shared" si="28"/>
        <v>36066.615000000005</v>
      </c>
      <c r="P382" s="9" t="str">
        <f t="shared" si="29"/>
        <v>OK</v>
      </c>
      <c r="Q382" s="9" t="str">
        <f>INDEX(Crops!$B$2:$B$7,MATCH(D382,Crops!$A$2:$A$7,0))</f>
        <v>Soybean</v>
      </c>
      <c r="R382" s="9" t="str">
        <f>INDEX(Districts!$B$2:$B$6,MATCH(C382,Districts!$A$2:$A$6,0))</f>
        <v>Tamale Metro</v>
      </c>
    </row>
    <row r="383" spans="1:18">
      <c r="A383" t="s">
        <v>117</v>
      </c>
      <c r="B383" s="4">
        <v>46128</v>
      </c>
      <c r="C383" t="s">
        <v>51</v>
      </c>
      <c r="D383" t="s">
        <v>37</v>
      </c>
      <c r="E383">
        <v>7.4</v>
      </c>
      <c r="F383">
        <v>27282.5</v>
      </c>
      <c r="G383">
        <v>3348.9</v>
      </c>
      <c r="H383">
        <v>23933.599999999999</v>
      </c>
      <c r="I383" t="s">
        <v>65</v>
      </c>
      <c r="J383">
        <v>8.5299999999999994</v>
      </c>
      <c r="K383">
        <v>12478.36</v>
      </c>
      <c r="L383">
        <f t="shared" si="25"/>
        <v>3686.8243243243242</v>
      </c>
      <c r="M383" s="8">
        <f t="shared" si="26"/>
        <v>0.12274901493631449</v>
      </c>
      <c r="N383" s="10">
        <f t="shared" si="27"/>
        <v>204153.60799999998</v>
      </c>
      <c r="O383" s="10">
        <f t="shared" si="28"/>
        <v>191675.24799999996</v>
      </c>
      <c r="P383" s="9" t="str">
        <f t="shared" si="29"/>
        <v>OK</v>
      </c>
      <c r="Q383" s="9" t="str">
        <f>INDEX(Crops!$B$2:$B$7,MATCH(D383,Crops!$A$2:$A$7,0))</f>
        <v>Pepper</v>
      </c>
      <c r="R383" s="9" t="str">
        <f>INDEX(Districts!$B$2:$B$6,MATCH(C383,Districts!$A$2:$A$6,0))</f>
        <v>Kintampo</v>
      </c>
    </row>
    <row r="384" spans="1:18">
      <c r="A384" t="s">
        <v>240</v>
      </c>
      <c r="B384" s="4">
        <v>45937</v>
      </c>
      <c r="C384" t="s">
        <v>49</v>
      </c>
      <c r="D384" t="s">
        <v>31</v>
      </c>
      <c r="E384">
        <v>14.3</v>
      </c>
      <c r="F384">
        <v>19558</v>
      </c>
      <c r="G384">
        <v>1610</v>
      </c>
      <c r="H384">
        <v>17948</v>
      </c>
      <c r="I384" t="s">
        <v>70</v>
      </c>
      <c r="J384">
        <v>3.03</v>
      </c>
      <c r="K384">
        <v>13126.97</v>
      </c>
      <c r="L384">
        <f t="shared" si="25"/>
        <v>1367.6923076923076</v>
      </c>
      <c r="M384" s="8">
        <f t="shared" si="26"/>
        <v>8.2319255547601999E-2</v>
      </c>
      <c r="N384" s="10">
        <f t="shared" si="27"/>
        <v>54382.439999999995</v>
      </c>
      <c r="O384" s="10">
        <f t="shared" si="28"/>
        <v>41255.469999999994</v>
      </c>
      <c r="P384" s="9" t="str">
        <f t="shared" si="29"/>
        <v>OK</v>
      </c>
      <c r="Q384" s="9" t="str">
        <f>INDEX(Crops!$B$2:$B$7,MATCH(D384,Crops!$A$2:$A$7,0))</f>
        <v>Maize</v>
      </c>
      <c r="R384" s="9" t="str">
        <f>INDEX(Districts!$B$2:$B$6,MATCH(C384,Districts!$A$2:$A$6,0))</f>
        <v>Tamale Metro</v>
      </c>
    </row>
    <row r="385" spans="1:18">
      <c r="A385" t="s">
        <v>141</v>
      </c>
      <c r="B385" s="4">
        <v>46014</v>
      </c>
      <c r="C385" t="s">
        <v>53</v>
      </c>
      <c r="D385" t="s">
        <v>41</v>
      </c>
      <c r="E385">
        <v>10.4</v>
      </c>
      <c r="F385">
        <v>41023.199999999997</v>
      </c>
      <c r="G385">
        <v>1175</v>
      </c>
      <c r="H385">
        <v>39848.199999999997</v>
      </c>
      <c r="I385" t="s">
        <v>65</v>
      </c>
      <c r="J385">
        <v>2.4</v>
      </c>
      <c r="K385">
        <v>15083.17</v>
      </c>
      <c r="L385">
        <f t="shared" si="25"/>
        <v>3944.538461538461</v>
      </c>
      <c r="M385" s="8">
        <f t="shared" si="26"/>
        <v>2.8642329218588509E-2</v>
      </c>
      <c r="N385" s="10">
        <f t="shared" si="27"/>
        <v>95635.68</v>
      </c>
      <c r="O385" s="10">
        <f t="shared" si="28"/>
        <v>80552.509999999995</v>
      </c>
      <c r="P385" s="9" t="str">
        <f t="shared" si="29"/>
        <v>OK</v>
      </c>
      <c r="Q385" s="9" t="str">
        <f>INDEX(Crops!$B$2:$B$7,MATCH(D385,Crops!$A$2:$A$7,0))</f>
        <v>Cassava</v>
      </c>
      <c r="R385" s="9" t="str">
        <f>INDEX(Districts!$B$2:$B$6,MATCH(C385,Districts!$A$2:$A$6,0))</f>
        <v>Hohoe</v>
      </c>
    </row>
    <row r="386" spans="1:18">
      <c r="A386" t="s">
        <v>133</v>
      </c>
      <c r="B386" s="4">
        <v>45984</v>
      </c>
      <c r="C386" t="s">
        <v>51</v>
      </c>
      <c r="D386" t="s">
        <v>31</v>
      </c>
      <c r="E386">
        <v>2.1</v>
      </c>
      <c r="F386">
        <v>3255</v>
      </c>
      <c r="G386">
        <v>188.8</v>
      </c>
      <c r="H386">
        <v>3066.2</v>
      </c>
      <c r="I386" t="s">
        <v>77</v>
      </c>
      <c r="J386">
        <v>3.35</v>
      </c>
      <c r="K386">
        <v>1871.14</v>
      </c>
      <c r="L386">
        <f t="shared" ref="L386:L449" si="30">F386/E386</f>
        <v>1550</v>
      </c>
      <c r="M386" s="8">
        <f t="shared" ref="M386:M449" si="31">G386/F386</f>
        <v>5.8003072196620591E-2</v>
      </c>
      <c r="N386" s="10">
        <f t="shared" ref="N386:N449" si="32">H386*J386</f>
        <v>10271.77</v>
      </c>
      <c r="O386" s="10">
        <f t="shared" ref="O386:O449" si="33">N386-K386</f>
        <v>8400.630000000001</v>
      </c>
      <c r="P386" s="9" t="str">
        <f t="shared" ref="P386:P449" si="34">IF(H386+G386&gt;F386,"CHECK: Sold+Loss &gt; Harvest","OK")</f>
        <v>OK</v>
      </c>
      <c r="Q386" s="9" t="str">
        <f>INDEX(Crops!$B$2:$B$7,MATCH(D386,Crops!$A$2:$A$7,0))</f>
        <v>Maize</v>
      </c>
      <c r="R386" s="9" t="str">
        <f>INDEX(Districts!$B$2:$B$6,MATCH(C386,Districts!$A$2:$A$6,0))</f>
        <v>Kintampo</v>
      </c>
    </row>
    <row r="387" spans="1:18">
      <c r="A387" t="s">
        <v>73</v>
      </c>
      <c r="B387" s="4">
        <v>45874</v>
      </c>
      <c r="C387" t="s">
        <v>45</v>
      </c>
      <c r="D387" t="s">
        <v>37</v>
      </c>
      <c r="E387">
        <v>4.9000000000000004</v>
      </c>
      <c r="F387">
        <v>18116.900000000001</v>
      </c>
      <c r="G387">
        <v>1946.5</v>
      </c>
      <c r="H387">
        <v>16170.4</v>
      </c>
      <c r="I387" t="s">
        <v>70</v>
      </c>
      <c r="J387">
        <v>7.79</v>
      </c>
      <c r="K387">
        <v>5316.06</v>
      </c>
      <c r="L387">
        <f t="shared" si="30"/>
        <v>3697.3265306122448</v>
      </c>
      <c r="M387" s="8">
        <f t="shared" si="31"/>
        <v>0.10744111851365298</v>
      </c>
      <c r="N387" s="10">
        <f t="shared" si="32"/>
        <v>125967.416</v>
      </c>
      <c r="O387" s="10">
        <f t="shared" si="33"/>
        <v>120651.356</v>
      </c>
      <c r="P387" s="9" t="str">
        <f t="shared" si="34"/>
        <v>OK</v>
      </c>
      <c r="Q387" s="9" t="str">
        <f>INDEX(Crops!$B$2:$B$7,MATCH(D387,Crops!$A$2:$A$7,0))</f>
        <v>Pepper</v>
      </c>
      <c r="R387" s="9" t="str">
        <f>INDEX(Districts!$B$2:$B$6,MATCH(C387,Districts!$A$2:$A$6,0))</f>
        <v>Ejura</v>
      </c>
    </row>
    <row r="388" spans="1:18">
      <c r="A388" t="s">
        <v>241</v>
      </c>
      <c r="B388" s="4">
        <v>46184</v>
      </c>
      <c r="C388" t="s">
        <v>51</v>
      </c>
      <c r="D388" t="s">
        <v>37</v>
      </c>
      <c r="E388">
        <v>7.7</v>
      </c>
      <c r="F388">
        <v>48419.9</v>
      </c>
      <c r="G388">
        <v>3217.3</v>
      </c>
      <c r="H388">
        <v>45202.6</v>
      </c>
      <c r="I388" t="s">
        <v>77</v>
      </c>
      <c r="J388">
        <v>10.039999999999999</v>
      </c>
      <c r="K388">
        <v>10588.52</v>
      </c>
      <c r="L388">
        <f t="shared" si="30"/>
        <v>6288.2987012987014</v>
      </c>
      <c r="M388" s="8">
        <f t="shared" si="31"/>
        <v>6.6445820829865415E-2</v>
      </c>
      <c r="N388" s="10">
        <f t="shared" si="32"/>
        <v>453834.10399999993</v>
      </c>
      <c r="O388" s="10">
        <f t="shared" si="33"/>
        <v>443245.58399999992</v>
      </c>
      <c r="P388" s="9" t="str">
        <f t="shared" si="34"/>
        <v>OK</v>
      </c>
      <c r="Q388" s="9" t="str">
        <f>INDEX(Crops!$B$2:$B$7,MATCH(D388,Crops!$A$2:$A$7,0))</f>
        <v>Pepper</v>
      </c>
      <c r="R388" s="9" t="str">
        <f>INDEX(Districts!$B$2:$B$6,MATCH(C388,Districts!$A$2:$A$6,0))</f>
        <v>Kintampo</v>
      </c>
    </row>
    <row r="389" spans="1:18">
      <c r="A389" t="s">
        <v>180</v>
      </c>
      <c r="B389" s="4">
        <v>46103</v>
      </c>
      <c r="C389" t="s">
        <v>47</v>
      </c>
      <c r="D389" t="s">
        <v>37</v>
      </c>
      <c r="E389">
        <v>1.7</v>
      </c>
      <c r="F389">
        <v>8527.7999999999993</v>
      </c>
      <c r="G389">
        <v>179.8</v>
      </c>
      <c r="H389">
        <v>8348</v>
      </c>
      <c r="I389" t="s">
        <v>142</v>
      </c>
      <c r="J389">
        <v>9.31</v>
      </c>
      <c r="K389">
        <v>2684.47</v>
      </c>
      <c r="L389">
        <f t="shared" si="30"/>
        <v>5016.3529411764703</v>
      </c>
      <c r="M389" s="8">
        <f t="shared" si="31"/>
        <v>2.1083984145969657E-2</v>
      </c>
      <c r="N389" s="10">
        <f t="shared" si="32"/>
        <v>77719.88</v>
      </c>
      <c r="O389" s="10">
        <f t="shared" si="33"/>
        <v>75035.41</v>
      </c>
      <c r="P389" s="9" t="str">
        <f t="shared" si="34"/>
        <v>OK</v>
      </c>
      <c r="Q389" s="9" t="str">
        <f>INDEX(Crops!$B$2:$B$7,MATCH(D389,Crops!$A$2:$A$7,0))</f>
        <v>Pepper</v>
      </c>
      <c r="R389" s="9" t="str">
        <f>INDEX(Districts!$B$2:$B$6,MATCH(C389,Districts!$A$2:$A$6,0))</f>
        <v>Techiman</v>
      </c>
    </row>
    <row r="390" spans="1:18">
      <c r="A390" t="s">
        <v>170</v>
      </c>
      <c r="B390" s="4">
        <v>45946</v>
      </c>
      <c r="C390" t="s">
        <v>45</v>
      </c>
      <c r="D390" t="s">
        <v>39</v>
      </c>
      <c r="E390">
        <v>3.1</v>
      </c>
      <c r="F390">
        <v>4736.2</v>
      </c>
      <c r="G390">
        <v>342.1</v>
      </c>
      <c r="H390">
        <v>4394.1000000000004</v>
      </c>
      <c r="I390" t="s">
        <v>65</v>
      </c>
      <c r="J390">
        <v>3.95</v>
      </c>
      <c r="K390">
        <v>5326.2</v>
      </c>
      <c r="L390">
        <f t="shared" si="30"/>
        <v>1527.8064516129032</v>
      </c>
      <c r="M390" s="8">
        <f t="shared" si="31"/>
        <v>7.2230902411215755E-2</v>
      </c>
      <c r="N390" s="10">
        <f t="shared" si="32"/>
        <v>17356.695000000003</v>
      </c>
      <c r="O390" s="10">
        <f t="shared" si="33"/>
        <v>12030.495000000003</v>
      </c>
      <c r="P390" s="9" t="str">
        <f t="shared" si="34"/>
        <v>OK</v>
      </c>
      <c r="Q390" s="9" t="str">
        <f>INDEX(Crops!$B$2:$B$7,MATCH(D390,Crops!$A$2:$A$7,0))</f>
        <v>Soybean</v>
      </c>
      <c r="R390" s="9" t="str">
        <f>INDEX(Districts!$B$2:$B$6,MATCH(C390,Districts!$A$2:$A$6,0))</f>
        <v>Ejura</v>
      </c>
    </row>
    <row r="391" spans="1:18">
      <c r="A391" t="s">
        <v>170</v>
      </c>
      <c r="B391" s="4">
        <v>45982</v>
      </c>
      <c r="C391" t="s">
        <v>49</v>
      </c>
      <c r="D391" t="s">
        <v>41</v>
      </c>
      <c r="E391">
        <v>2.9</v>
      </c>
      <c r="F391">
        <v>21033.599999999999</v>
      </c>
      <c r="G391">
        <v>2745.1</v>
      </c>
      <c r="H391">
        <v>18288.5</v>
      </c>
      <c r="I391" t="s">
        <v>77</v>
      </c>
      <c r="J391">
        <v>2.13</v>
      </c>
      <c r="K391">
        <v>2265.12</v>
      </c>
      <c r="L391">
        <f t="shared" si="30"/>
        <v>7252.9655172413786</v>
      </c>
      <c r="M391" s="8">
        <f t="shared" si="31"/>
        <v>0.13051023124904915</v>
      </c>
      <c r="N391" s="10">
        <f t="shared" si="32"/>
        <v>38954.504999999997</v>
      </c>
      <c r="O391" s="10">
        <f t="shared" si="33"/>
        <v>36689.384999999995</v>
      </c>
      <c r="P391" s="9" t="str">
        <f t="shared" si="34"/>
        <v>OK</v>
      </c>
      <c r="Q391" s="9" t="str">
        <f>INDEX(Crops!$B$2:$B$7,MATCH(D391,Crops!$A$2:$A$7,0))</f>
        <v>Cassava</v>
      </c>
      <c r="R391" s="9" t="str">
        <f>INDEX(Districts!$B$2:$B$6,MATCH(C391,Districts!$A$2:$A$6,0))</f>
        <v>Tamale Metro</v>
      </c>
    </row>
    <row r="392" spans="1:18">
      <c r="A392" t="s">
        <v>214</v>
      </c>
      <c r="B392" s="4">
        <v>46092</v>
      </c>
      <c r="C392" t="s">
        <v>47</v>
      </c>
      <c r="D392" t="s">
        <v>35</v>
      </c>
      <c r="E392">
        <v>8.6</v>
      </c>
      <c r="F392">
        <v>69963.7</v>
      </c>
      <c r="G392">
        <v>7839.1</v>
      </c>
      <c r="H392">
        <v>62124.6</v>
      </c>
      <c r="I392" t="s">
        <v>65</v>
      </c>
      <c r="J392">
        <v>7.19</v>
      </c>
      <c r="K392">
        <v>7446.51</v>
      </c>
      <c r="L392">
        <f t="shared" si="30"/>
        <v>8135.3139534883721</v>
      </c>
      <c r="M392" s="8">
        <f t="shared" si="31"/>
        <v>0.11204524632059197</v>
      </c>
      <c r="N392" s="10">
        <f t="shared" si="32"/>
        <v>446675.87400000001</v>
      </c>
      <c r="O392" s="10">
        <f t="shared" si="33"/>
        <v>439229.364</v>
      </c>
      <c r="P392" s="9" t="str">
        <f t="shared" si="34"/>
        <v>OK</v>
      </c>
      <c r="Q392" s="9" t="str">
        <f>INDEX(Crops!$B$2:$B$7,MATCH(D392,Crops!$A$2:$A$7,0))</f>
        <v>Tomato</v>
      </c>
      <c r="R392" s="9" t="str">
        <f>INDEX(Districts!$B$2:$B$6,MATCH(C392,Districts!$A$2:$A$6,0))</f>
        <v>Techiman</v>
      </c>
    </row>
    <row r="393" spans="1:18">
      <c r="A393" t="s">
        <v>73</v>
      </c>
      <c r="B393" s="4">
        <v>46157</v>
      </c>
      <c r="C393" t="s">
        <v>47</v>
      </c>
      <c r="D393" t="s">
        <v>39</v>
      </c>
      <c r="E393">
        <v>5.7</v>
      </c>
      <c r="F393">
        <v>7673.8</v>
      </c>
      <c r="G393">
        <v>975.6</v>
      </c>
      <c r="H393">
        <v>6698.2</v>
      </c>
      <c r="I393" t="s">
        <v>77</v>
      </c>
      <c r="J393">
        <v>5.35</v>
      </c>
      <c r="K393">
        <v>9662.99</v>
      </c>
      <c r="L393">
        <f t="shared" si="30"/>
        <v>1346.280701754386</v>
      </c>
      <c r="M393" s="8">
        <f t="shared" si="31"/>
        <v>0.12713388412520524</v>
      </c>
      <c r="N393" s="10">
        <f t="shared" si="32"/>
        <v>35835.369999999995</v>
      </c>
      <c r="O393" s="10">
        <f t="shared" si="33"/>
        <v>26172.379999999997</v>
      </c>
      <c r="P393" s="9" t="str">
        <f t="shared" si="34"/>
        <v>OK</v>
      </c>
      <c r="Q393" s="9" t="str">
        <f>INDEX(Crops!$B$2:$B$7,MATCH(D393,Crops!$A$2:$A$7,0))</f>
        <v>Soybean</v>
      </c>
      <c r="R393" s="9" t="str">
        <f>INDEX(Districts!$B$2:$B$6,MATCH(C393,Districts!$A$2:$A$6,0))</f>
        <v>Techiman</v>
      </c>
    </row>
    <row r="394" spans="1:18">
      <c r="A394" t="s">
        <v>216</v>
      </c>
      <c r="B394" s="4">
        <v>45963</v>
      </c>
      <c r="C394" t="s">
        <v>47</v>
      </c>
      <c r="D394" t="s">
        <v>39</v>
      </c>
      <c r="E394">
        <v>2.9</v>
      </c>
      <c r="F394">
        <v>3268.7</v>
      </c>
      <c r="G394">
        <v>228</v>
      </c>
      <c r="H394">
        <v>3040.7</v>
      </c>
      <c r="I394" t="s">
        <v>70</v>
      </c>
      <c r="J394">
        <v>5.08</v>
      </c>
      <c r="K394">
        <v>2809.01</v>
      </c>
      <c r="L394">
        <f t="shared" si="30"/>
        <v>1127.1379310344828</v>
      </c>
      <c r="M394" s="8">
        <f t="shared" si="31"/>
        <v>6.9752500994279071E-2</v>
      </c>
      <c r="N394" s="10">
        <f t="shared" si="32"/>
        <v>15446.755999999999</v>
      </c>
      <c r="O394" s="10">
        <f t="shared" si="33"/>
        <v>12637.745999999999</v>
      </c>
      <c r="P394" s="9" t="str">
        <f t="shared" si="34"/>
        <v>OK</v>
      </c>
      <c r="Q394" s="9" t="str">
        <f>INDEX(Crops!$B$2:$B$7,MATCH(D394,Crops!$A$2:$A$7,0))</f>
        <v>Soybean</v>
      </c>
      <c r="R394" s="9" t="str">
        <f>INDEX(Districts!$B$2:$B$6,MATCH(C394,Districts!$A$2:$A$6,0))</f>
        <v>Techiman</v>
      </c>
    </row>
    <row r="395" spans="1:18">
      <c r="A395" t="s">
        <v>144</v>
      </c>
      <c r="B395" s="4">
        <v>45848</v>
      </c>
      <c r="C395" t="s">
        <v>47</v>
      </c>
      <c r="D395" t="s">
        <v>31</v>
      </c>
      <c r="E395">
        <v>3.4</v>
      </c>
      <c r="F395">
        <v>7143.5</v>
      </c>
      <c r="G395">
        <v>573.6</v>
      </c>
      <c r="H395">
        <v>6569.9</v>
      </c>
      <c r="I395" t="s">
        <v>70</v>
      </c>
      <c r="J395">
        <v>2.88</v>
      </c>
      <c r="K395">
        <v>3118.84</v>
      </c>
      <c r="L395">
        <f t="shared" si="30"/>
        <v>2101.0294117647059</v>
      </c>
      <c r="M395" s="8">
        <f t="shared" si="31"/>
        <v>8.0296773290403869E-2</v>
      </c>
      <c r="N395" s="10">
        <f t="shared" si="32"/>
        <v>18921.311999999998</v>
      </c>
      <c r="O395" s="10">
        <f t="shared" si="33"/>
        <v>15802.471999999998</v>
      </c>
      <c r="P395" s="9" t="str">
        <f t="shared" si="34"/>
        <v>OK</v>
      </c>
      <c r="Q395" s="9" t="str">
        <f>INDEX(Crops!$B$2:$B$7,MATCH(D395,Crops!$A$2:$A$7,0))</f>
        <v>Maize</v>
      </c>
      <c r="R395" s="9" t="str">
        <f>INDEX(Districts!$B$2:$B$6,MATCH(C395,Districts!$A$2:$A$6,0))</f>
        <v>Techiman</v>
      </c>
    </row>
    <row r="396" spans="1:18">
      <c r="A396" t="s">
        <v>242</v>
      </c>
      <c r="B396" s="4">
        <v>46011</v>
      </c>
      <c r="C396" t="s">
        <v>53</v>
      </c>
      <c r="D396" t="s">
        <v>41</v>
      </c>
      <c r="E396">
        <v>5</v>
      </c>
      <c r="F396">
        <v>31703</v>
      </c>
      <c r="G396">
        <v>2736</v>
      </c>
      <c r="H396">
        <v>28967</v>
      </c>
      <c r="I396" t="s">
        <v>77</v>
      </c>
      <c r="J396">
        <v>2.1</v>
      </c>
      <c r="K396">
        <v>5359.51</v>
      </c>
      <c r="L396">
        <f t="shared" si="30"/>
        <v>6340.6</v>
      </c>
      <c r="M396" s="8">
        <f t="shared" si="31"/>
        <v>8.6300980979718014E-2</v>
      </c>
      <c r="N396" s="10">
        <f t="shared" si="32"/>
        <v>60830.700000000004</v>
      </c>
      <c r="O396" s="10">
        <f t="shared" si="33"/>
        <v>55471.19</v>
      </c>
      <c r="P396" s="9" t="str">
        <f t="shared" si="34"/>
        <v>OK</v>
      </c>
      <c r="Q396" s="9" t="str">
        <f>INDEX(Crops!$B$2:$B$7,MATCH(D396,Crops!$A$2:$A$7,0))</f>
        <v>Cassava</v>
      </c>
      <c r="R396" s="9" t="str">
        <f>INDEX(Districts!$B$2:$B$6,MATCH(C396,Districts!$A$2:$A$6,0))</f>
        <v>Hohoe</v>
      </c>
    </row>
    <row r="397" spans="1:18">
      <c r="A397" t="s">
        <v>99</v>
      </c>
      <c r="B397" s="4">
        <v>46082</v>
      </c>
      <c r="C397" t="s">
        <v>53</v>
      </c>
      <c r="D397" t="s">
        <v>41</v>
      </c>
      <c r="E397">
        <v>11.1</v>
      </c>
      <c r="F397">
        <v>84016</v>
      </c>
      <c r="G397">
        <v>2747.9</v>
      </c>
      <c r="H397">
        <v>81268.100000000006</v>
      </c>
      <c r="I397" t="s">
        <v>70</v>
      </c>
      <c r="J397">
        <v>2.2599999999999998</v>
      </c>
      <c r="K397">
        <v>10600.16</v>
      </c>
      <c r="L397">
        <f t="shared" si="30"/>
        <v>7569.0090090090089</v>
      </c>
      <c r="M397" s="8">
        <f t="shared" si="31"/>
        <v>3.2706865358979244E-2</v>
      </c>
      <c r="N397" s="10">
        <f t="shared" si="32"/>
        <v>183665.90599999999</v>
      </c>
      <c r="O397" s="10">
        <f t="shared" si="33"/>
        <v>173065.74599999998</v>
      </c>
      <c r="P397" s="9" t="str">
        <f t="shared" si="34"/>
        <v>OK</v>
      </c>
      <c r="Q397" s="9" t="str">
        <f>INDEX(Crops!$B$2:$B$7,MATCH(D397,Crops!$A$2:$A$7,0))</f>
        <v>Cassava</v>
      </c>
      <c r="R397" s="9" t="str">
        <f>INDEX(Districts!$B$2:$B$6,MATCH(C397,Districts!$A$2:$A$6,0))</f>
        <v>Hohoe</v>
      </c>
    </row>
    <row r="398" spans="1:18">
      <c r="A398" t="s">
        <v>163</v>
      </c>
      <c r="B398" s="4">
        <v>45939</v>
      </c>
      <c r="C398" t="s">
        <v>49</v>
      </c>
      <c r="D398" t="s">
        <v>37</v>
      </c>
      <c r="E398">
        <v>11.6</v>
      </c>
      <c r="F398">
        <v>53243.7</v>
      </c>
      <c r="G398">
        <v>4997.2</v>
      </c>
      <c r="H398">
        <v>48246.5</v>
      </c>
      <c r="I398" t="s">
        <v>70</v>
      </c>
      <c r="J398">
        <v>9.01</v>
      </c>
      <c r="K398">
        <v>14410.08</v>
      </c>
      <c r="L398">
        <f t="shared" si="30"/>
        <v>4589.9741379310344</v>
      </c>
      <c r="M398" s="8">
        <f t="shared" si="31"/>
        <v>9.3855235455086714E-2</v>
      </c>
      <c r="N398" s="10">
        <f t="shared" si="32"/>
        <v>434700.96499999997</v>
      </c>
      <c r="O398" s="10">
        <f t="shared" si="33"/>
        <v>420290.88499999995</v>
      </c>
      <c r="P398" s="9" t="str">
        <f t="shared" si="34"/>
        <v>OK</v>
      </c>
      <c r="Q398" s="9" t="str">
        <f>INDEX(Crops!$B$2:$B$7,MATCH(D398,Crops!$A$2:$A$7,0))</f>
        <v>Pepper</v>
      </c>
      <c r="R398" s="9" t="str">
        <f>INDEX(Districts!$B$2:$B$6,MATCH(C398,Districts!$A$2:$A$6,0))</f>
        <v>Tamale Metro</v>
      </c>
    </row>
    <row r="399" spans="1:18">
      <c r="A399" t="s">
        <v>143</v>
      </c>
      <c r="B399" s="4">
        <v>45841</v>
      </c>
      <c r="C399" t="s">
        <v>49</v>
      </c>
      <c r="D399" t="s">
        <v>35</v>
      </c>
      <c r="E399">
        <v>14.4</v>
      </c>
      <c r="F399">
        <v>141664.70000000001</v>
      </c>
      <c r="G399">
        <v>4297.8999999999996</v>
      </c>
      <c r="H399">
        <v>137366.79999999999</v>
      </c>
      <c r="I399" t="s">
        <v>77</v>
      </c>
      <c r="J399">
        <v>7.5</v>
      </c>
      <c r="K399">
        <v>20636.509999999998</v>
      </c>
      <c r="L399">
        <f t="shared" si="30"/>
        <v>9837.8263888888887</v>
      </c>
      <c r="M399" s="8">
        <f t="shared" si="31"/>
        <v>3.0338538817362402E-2</v>
      </c>
      <c r="N399" s="10">
        <f t="shared" si="32"/>
        <v>1030250.9999999999</v>
      </c>
      <c r="O399" s="10">
        <f t="shared" si="33"/>
        <v>1009614.4899999999</v>
      </c>
      <c r="P399" s="9" t="str">
        <f t="shared" si="34"/>
        <v>OK</v>
      </c>
      <c r="Q399" s="9" t="str">
        <f>INDEX(Crops!$B$2:$B$7,MATCH(D399,Crops!$A$2:$A$7,0))</f>
        <v>Tomato</v>
      </c>
      <c r="R399" s="9" t="str">
        <f>INDEX(Districts!$B$2:$B$6,MATCH(C399,Districts!$A$2:$A$6,0))</f>
        <v>Tamale Metro</v>
      </c>
    </row>
    <row r="400" spans="1:18">
      <c r="A400" t="s">
        <v>173</v>
      </c>
      <c r="B400" s="4">
        <v>46130</v>
      </c>
      <c r="C400" t="s">
        <v>49</v>
      </c>
      <c r="D400" t="s">
        <v>39</v>
      </c>
      <c r="E400">
        <v>12.5</v>
      </c>
      <c r="F400">
        <v>19498.099999999999</v>
      </c>
      <c r="G400">
        <v>2533.3000000000002</v>
      </c>
      <c r="H400">
        <v>16964.8</v>
      </c>
      <c r="I400" t="s">
        <v>65</v>
      </c>
      <c r="J400">
        <v>4.9800000000000004</v>
      </c>
      <c r="K400">
        <v>20278.990000000002</v>
      </c>
      <c r="L400">
        <f t="shared" si="30"/>
        <v>1559.848</v>
      </c>
      <c r="M400" s="8">
        <f t="shared" si="31"/>
        <v>0.12992547991855619</v>
      </c>
      <c r="N400" s="10">
        <f t="shared" si="32"/>
        <v>84484.703999999998</v>
      </c>
      <c r="O400" s="10">
        <f t="shared" si="33"/>
        <v>64205.713999999993</v>
      </c>
      <c r="P400" s="9" t="str">
        <f t="shared" si="34"/>
        <v>OK</v>
      </c>
      <c r="Q400" s="9" t="str">
        <f>INDEX(Crops!$B$2:$B$7,MATCH(D400,Crops!$A$2:$A$7,0))</f>
        <v>Soybean</v>
      </c>
      <c r="R400" s="9" t="str">
        <f>INDEX(Districts!$B$2:$B$6,MATCH(C400,Districts!$A$2:$A$6,0))</f>
        <v>Tamale Metro</v>
      </c>
    </row>
    <row r="401" spans="1:18">
      <c r="A401" t="s">
        <v>243</v>
      </c>
      <c r="B401" s="4">
        <v>46151</v>
      </c>
      <c r="C401" t="s">
        <v>51</v>
      </c>
      <c r="D401" t="s">
        <v>33</v>
      </c>
      <c r="E401">
        <v>13.1</v>
      </c>
      <c r="F401">
        <v>27137.9</v>
      </c>
      <c r="G401">
        <v>1949.7</v>
      </c>
      <c r="H401">
        <v>25188.2</v>
      </c>
      <c r="I401" t="s">
        <v>77</v>
      </c>
      <c r="J401">
        <v>6.86</v>
      </c>
      <c r="K401">
        <v>16478.04</v>
      </c>
      <c r="L401">
        <f t="shared" si="30"/>
        <v>2071.5954198473282</v>
      </c>
      <c r="M401" s="8">
        <f t="shared" si="31"/>
        <v>7.1844173646450168E-2</v>
      </c>
      <c r="N401" s="10">
        <f t="shared" si="32"/>
        <v>172791.05200000003</v>
      </c>
      <c r="O401" s="10">
        <f t="shared" si="33"/>
        <v>156313.01200000002</v>
      </c>
      <c r="P401" s="9" t="str">
        <f t="shared" si="34"/>
        <v>OK</v>
      </c>
      <c r="Q401" s="9" t="str">
        <f>INDEX(Crops!$B$2:$B$7,MATCH(D401,Crops!$A$2:$A$7,0))</f>
        <v>Rice</v>
      </c>
      <c r="R401" s="9" t="str">
        <f>INDEX(Districts!$B$2:$B$6,MATCH(C401,Districts!$A$2:$A$6,0))</f>
        <v>Kintampo</v>
      </c>
    </row>
    <row r="402" spans="1:18">
      <c r="A402" t="s">
        <v>206</v>
      </c>
      <c r="B402" s="4">
        <v>45985</v>
      </c>
      <c r="C402" t="s">
        <v>51</v>
      </c>
      <c r="D402" t="s">
        <v>31</v>
      </c>
      <c r="E402">
        <v>11.3</v>
      </c>
      <c r="F402">
        <v>14597</v>
      </c>
      <c r="G402">
        <v>1553.1</v>
      </c>
      <c r="H402">
        <v>13043.9</v>
      </c>
      <c r="I402" t="s">
        <v>67</v>
      </c>
      <c r="J402">
        <v>3.77</v>
      </c>
      <c r="K402">
        <v>10638.08</v>
      </c>
      <c r="L402">
        <f t="shared" si="30"/>
        <v>1291.7699115044247</v>
      </c>
      <c r="M402" s="8">
        <f t="shared" si="31"/>
        <v>0.10639857504966774</v>
      </c>
      <c r="N402" s="10">
        <f t="shared" si="32"/>
        <v>49175.502999999997</v>
      </c>
      <c r="O402" s="10">
        <f t="shared" si="33"/>
        <v>38537.422999999995</v>
      </c>
      <c r="P402" s="9" t="str">
        <f t="shared" si="34"/>
        <v>OK</v>
      </c>
      <c r="Q402" s="9" t="str">
        <f>INDEX(Crops!$B$2:$B$7,MATCH(D402,Crops!$A$2:$A$7,0))</f>
        <v>Maize</v>
      </c>
      <c r="R402" s="9" t="str">
        <f>INDEX(Districts!$B$2:$B$6,MATCH(C402,Districts!$A$2:$A$6,0))</f>
        <v>Kintampo</v>
      </c>
    </row>
    <row r="403" spans="1:18">
      <c r="A403" t="s">
        <v>175</v>
      </c>
      <c r="B403" s="4">
        <v>45892</v>
      </c>
      <c r="C403" t="s">
        <v>49</v>
      </c>
      <c r="D403" t="s">
        <v>41</v>
      </c>
      <c r="E403">
        <v>3.3</v>
      </c>
      <c r="F403">
        <v>24843.1</v>
      </c>
      <c r="G403">
        <v>2814.1</v>
      </c>
      <c r="H403">
        <v>22029</v>
      </c>
      <c r="I403" t="s">
        <v>67</v>
      </c>
      <c r="J403">
        <v>2.63</v>
      </c>
      <c r="K403">
        <v>2677.4</v>
      </c>
      <c r="L403">
        <f t="shared" si="30"/>
        <v>7528.212121212121</v>
      </c>
      <c r="M403" s="8">
        <f t="shared" si="31"/>
        <v>0.11327491335622367</v>
      </c>
      <c r="N403" s="10">
        <f t="shared" si="32"/>
        <v>57936.27</v>
      </c>
      <c r="O403" s="10">
        <f t="shared" si="33"/>
        <v>55258.869999999995</v>
      </c>
      <c r="P403" s="9" t="str">
        <f t="shared" si="34"/>
        <v>OK</v>
      </c>
      <c r="Q403" s="9" t="str">
        <f>INDEX(Crops!$B$2:$B$7,MATCH(D403,Crops!$A$2:$A$7,0))</f>
        <v>Cassava</v>
      </c>
      <c r="R403" s="9" t="str">
        <f>INDEX(Districts!$B$2:$B$6,MATCH(C403,Districts!$A$2:$A$6,0))</f>
        <v>Tamale Metro</v>
      </c>
    </row>
    <row r="404" spans="1:18">
      <c r="A404" t="s">
        <v>107</v>
      </c>
      <c r="B404" s="4">
        <v>45883</v>
      </c>
      <c r="C404" t="s">
        <v>51</v>
      </c>
      <c r="D404" t="s">
        <v>31</v>
      </c>
      <c r="E404">
        <v>3</v>
      </c>
      <c r="F404">
        <v>3766.1</v>
      </c>
      <c r="G404">
        <v>501.8</v>
      </c>
      <c r="H404">
        <v>3264.3</v>
      </c>
      <c r="I404" t="s">
        <v>65</v>
      </c>
      <c r="J404">
        <v>3.02</v>
      </c>
      <c r="K404">
        <v>4443.17</v>
      </c>
      <c r="L404">
        <f t="shared" si="30"/>
        <v>1255.3666666666666</v>
      </c>
      <c r="M404" s="8">
        <f t="shared" si="31"/>
        <v>0.13324128408698654</v>
      </c>
      <c r="N404" s="10">
        <f t="shared" si="32"/>
        <v>9858.1860000000015</v>
      </c>
      <c r="O404" s="10">
        <f t="shared" si="33"/>
        <v>5415.0160000000014</v>
      </c>
      <c r="P404" s="9" t="str">
        <f t="shared" si="34"/>
        <v>OK</v>
      </c>
      <c r="Q404" s="9" t="str">
        <f>INDEX(Crops!$B$2:$B$7,MATCH(D404,Crops!$A$2:$A$7,0))</f>
        <v>Maize</v>
      </c>
      <c r="R404" s="9" t="str">
        <f>INDEX(Districts!$B$2:$B$6,MATCH(C404,Districts!$A$2:$A$6,0))</f>
        <v>Kintampo</v>
      </c>
    </row>
    <row r="405" spans="1:18">
      <c r="A405" t="s">
        <v>138</v>
      </c>
      <c r="B405" s="4">
        <v>45999</v>
      </c>
      <c r="C405" t="s">
        <v>53</v>
      </c>
      <c r="D405" t="s">
        <v>31</v>
      </c>
      <c r="E405">
        <v>5.9</v>
      </c>
      <c r="F405">
        <v>8602.5</v>
      </c>
      <c r="G405">
        <v>1149.7</v>
      </c>
      <c r="H405">
        <v>7452.8</v>
      </c>
      <c r="I405" t="s">
        <v>65</v>
      </c>
      <c r="J405">
        <v>2.94</v>
      </c>
      <c r="K405">
        <v>3856.24</v>
      </c>
      <c r="L405">
        <f t="shared" si="30"/>
        <v>1458.050847457627</v>
      </c>
      <c r="M405" s="8">
        <f t="shared" si="31"/>
        <v>0.13364719558267946</v>
      </c>
      <c r="N405" s="10">
        <f t="shared" si="32"/>
        <v>21911.232</v>
      </c>
      <c r="O405" s="10">
        <f t="shared" si="33"/>
        <v>18054.991999999998</v>
      </c>
      <c r="P405" s="9" t="str">
        <f t="shared" si="34"/>
        <v>OK</v>
      </c>
      <c r="Q405" s="9" t="str">
        <f>INDEX(Crops!$B$2:$B$7,MATCH(D405,Crops!$A$2:$A$7,0))</f>
        <v>Maize</v>
      </c>
      <c r="R405" s="9" t="str">
        <f>INDEX(Districts!$B$2:$B$6,MATCH(C405,Districts!$A$2:$A$6,0))</f>
        <v>Hohoe</v>
      </c>
    </row>
    <row r="406" spans="1:18">
      <c r="A406" t="s">
        <v>171</v>
      </c>
      <c r="B406" s="4">
        <v>46204</v>
      </c>
      <c r="C406" t="s">
        <v>45</v>
      </c>
      <c r="D406" t="s">
        <v>31</v>
      </c>
      <c r="E406">
        <v>11.7</v>
      </c>
      <c r="F406">
        <v>28264.7</v>
      </c>
      <c r="G406">
        <v>4129.8999999999996</v>
      </c>
      <c r="H406">
        <v>24134.799999999999</v>
      </c>
      <c r="I406" t="s">
        <v>70</v>
      </c>
      <c r="J406">
        <v>3.11</v>
      </c>
      <c r="K406">
        <v>17623.099999999999</v>
      </c>
      <c r="L406">
        <f t="shared" si="30"/>
        <v>2415.7863247863252</v>
      </c>
      <c r="M406" s="8">
        <f t="shared" si="31"/>
        <v>0.14611511885850548</v>
      </c>
      <c r="N406" s="10">
        <f t="shared" si="32"/>
        <v>75059.227999999988</v>
      </c>
      <c r="O406" s="10">
        <f t="shared" si="33"/>
        <v>57436.12799999999</v>
      </c>
      <c r="P406" s="9" t="str">
        <f t="shared" si="34"/>
        <v>OK</v>
      </c>
      <c r="Q406" s="9" t="str">
        <f>INDEX(Crops!$B$2:$B$7,MATCH(D406,Crops!$A$2:$A$7,0))</f>
        <v>Maize</v>
      </c>
      <c r="R406" s="9" t="str">
        <f>INDEX(Districts!$B$2:$B$6,MATCH(C406,Districts!$A$2:$A$6,0))</f>
        <v>Ejura</v>
      </c>
    </row>
    <row r="407" spans="1:18">
      <c r="A407" t="s">
        <v>244</v>
      </c>
      <c r="B407" s="4">
        <v>45875</v>
      </c>
      <c r="C407" t="s">
        <v>51</v>
      </c>
      <c r="D407" t="s">
        <v>41</v>
      </c>
      <c r="E407">
        <v>9.1999999999999993</v>
      </c>
      <c r="F407">
        <v>57925.7</v>
      </c>
      <c r="G407">
        <v>6019.4</v>
      </c>
      <c r="H407">
        <v>51906.3</v>
      </c>
      <c r="I407" t="s">
        <v>67</v>
      </c>
      <c r="J407">
        <v>2.4</v>
      </c>
      <c r="K407">
        <v>15429.71</v>
      </c>
      <c r="L407">
        <f t="shared" si="30"/>
        <v>6296.271739130435</v>
      </c>
      <c r="M407" s="8">
        <f t="shared" si="31"/>
        <v>0.10391587844428293</v>
      </c>
      <c r="N407" s="10">
        <f t="shared" si="32"/>
        <v>124575.12</v>
      </c>
      <c r="O407" s="10">
        <f t="shared" si="33"/>
        <v>109145.41</v>
      </c>
      <c r="P407" s="9" t="str">
        <f t="shared" si="34"/>
        <v>OK</v>
      </c>
      <c r="Q407" s="9" t="str">
        <f>INDEX(Crops!$B$2:$B$7,MATCH(D407,Crops!$A$2:$A$7,0))</f>
        <v>Cassava</v>
      </c>
      <c r="R407" s="9" t="str">
        <f>INDEX(Districts!$B$2:$B$6,MATCH(C407,Districts!$A$2:$A$6,0))</f>
        <v>Kintampo</v>
      </c>
    </row>
    <row r="408" spans="1:18">
      <c r="A408" t="s">
        <v>227</v>
      </c>
      <c r="B408" s="4">
        <v>46167</v>
      </c>
      <c r="C408" t="s">
        <v>45</v>
      </c>
      <c r="D408" t="s">
        <v>35</v>
      </c>
      <c r="E408">
        <v>6.8</v>
      </c>
      <c r="F408">
        <v>49604</v>
      </c>
      <c r="G408">
        <v>2007</v>
      </c>
      <c r="H408">
        <v>47597</v>
      </c>
      <c r="I408" t="s">
        <v>67</v>
      </c>
      <c r="J408">
        <v>5.91</v>
      </c>
      <c r="K408">
        <v>10251</v>
      </c>
      <c r="L408">
        <f t="shared" si="30"/>
        <v>7294.7058823529414</v>
      </c>
      <c r="M408" s="8">
        <f t="shared" si="31"/>
        <v>4.0460446738166275E-2</v>
      </c>
      <c r="N408" s="10">
        <f t="shared" si="32"/>
        <v>281298.27</v>
      </c>
      <c r="O408" s="10">
        <f t="shared" si="33"/>
        <v>271047.27</v>
      </c>
      <c r="P408" s="9" t="str">
        <f t="shared" si="34"/>
        <v>OK</v>
      </c>
      <c r="Q408" s="9" t="str">
        <f>INDEX(Crops!$B$2:$B$7,MATCH(D408,Crops!$A$2:$A$7,0))</f>
        <v>Tomato</v>
      </c>
      <c r="R408" s="9" t="str">
        <f>INDEX(Districts!$B$2:$B$6,MATCH(C408,Districts!$A$2:$A$6,0))</f>
        <v>Ejura</v>
      </c>
    </row>
    <row r="409" spans="1:18">
      <c r="A409" t="s">
        <v>85</v>
      </c>
      <c r="B409" s="4">
        <v>46058</v>
      </c>
      <c r="C409" t="s">
        <v>49</v>
      </c>
      <c r="D409" t="s">
        <v>33</v>
      </c>
      <c r="E409">
        <v>5.0999999999999996</v>
      </c>
      <c r="F409">
        <v>10377.799999999999</v>
      </c>
      <c r="G409">
        <v>1202</v>
      </c>
      <c r="H409">
        <v>9175.7999999999993</v>
      </c>
      <c r="I409" t="s">
        <v>67</v>
      </c>
      <c r="J409">
        <v>5.84</v>
      </c>
      <c r="K409">
        <v>8872.64</v>
      </c>
      <c r="L409">
        <f t="shared" si="30"/>
        <v>2034.8627450980391</v>
      </c>
      <c r="M409" s="8">
        <f t="shared" si="31"/>
        <v>0.11582416311742375</v>
      </c>
      <c r="N409" s="10">
        <f t="shared" si="32"/>
        <v>53586.671999999991</v>
      </c>
      <c r="O409" s="10">
        <f t="shared" si="33"/>
        <v>44714.031999999992</v>
      </c>
      <c r="P409" s="9" t="str">
        <f t="shared" si="34"/>
        <v>OK</v>
      </c>
      <c r="Q409" s="9" t="str">
        <f>INDEX(Crops!$B$2:$B$7,MATCH(D409,Crops!$A$2:$A$7,0))</f>
        <v>Rice</v>
      </c>
      <c r="R409" s="9" t="str">
        <f>INDEX(Districts!$B$2:$B$6,MATCH(C409,Districts!$A$2:$A$6,0))</f>
        <v>Tamale Metro</v>
      </c>
    </row>
    <row r="410" spans="1:18">
      <c r="A410" t="s">
        <v>245</v>
      </c>
      <c r="B410" s="4">
        <v>45929</v>
      </c>
      <c r="C410" t="s">
        <v>47</v>
      </c>
      <c r="D410" t="s">
        <v>33</v>
      </c>
      <c r="E410">
        <v>3.8</v>
      </c>
      <c r="F410">
        <v>7654.6</v>
      </c>
      <c r="G410">
        <v>424.3</v>
      </c>
      <c r="H410">
        <v>7230.3</v>
      </c>
      <c r="I410" t="s">
        <v>77</v>
      </c>
      <c r="J410">
        <v>5.56</v>
      </c>
      <c r="K410">
        <v>3627.66</v>
      </c>
      <c r="L410">
        <f t="shared" si="30"/>
        <v>2014.3684210526317</v>
      </c>
      <c r="M410" s="8">
        <f t="shared" si="31"/>
        <v>5.5430721396284584E-2</v>
      </c>
      <c r="N410" s="10">
        <f t="shared" si="32"/>
        <v>40200.468000000001</v>
      </c>
      <c r="O410" s="10">
        <f t="shared" si="33"/>
        <v>36572.808000000005</v>
      </c>
      <c r="P410" s="9" t="str">
        <f t="shared" si="34"/>
        <v>OK</v>
      </c>
      <c r="Q410" s="9" t="str">
        <f>INDEX(Crops!$B$2:$B$7,MATCH(D410,Crops!$A$2:$A$7,0))</f>
        <v>Rice</v>
      </c>
      <c r="R410" s="9" t="str">
        <f>INDEX(Districts!$B$2:$B$6,MATCH(C410,Districts!$A$2:$A$6,0))</f>
        <v>Techiman</v>
      </c>
    </row>
    <row r="411" spans="1:18">
      <c r="A411" t="s">
        <v>194</v>
      </c>
      <c r="B411" s="4">
        <v>45960</v>
      </c>
      <c r="C411" t="s">
        <v>49</v>
      </c>
      <c r="D411" t="s">
        <v>39</v>
      </c>
      <c r="E411">
        <v>14.1</v>
      </c>
      <c r="F411">
        <v>14444</v>
      </c>
      <c r="G411">
        <v>1982.1</v>
      </c>
      <c r="H411">
        <v>12461.9</v>
      </c>
      <c r="I411" t="s">
        <v>65</v>
      </c>
      <c r="J411">
        <v>4.55</v>
      </c>
      <c r="K411">
        <v>21000.14</v>
      </c>
      <c r="L411">
        <f t="shared" si="30"/>
        <v>1024.3971631205675</v>
      </c>
      <c r="M411" s="8">
        <f t="shared" si="31"/>
        <v>0.13722653004707835</v>
      </c>
      <c r="N411" s="10">
        <f t="shared" si="32"/>
        <v>56701.644999999997</v>
      </c>
      <c r="O411" s="10">
        <f t="shared" si="33"/>
        <v>35701.504999999997</v>
      </c>
      <c r="P411" s="9" t="str">
        <f t="shared" si="34"/>
        <v>OK</v>
      </c>
      <c r="Q411" s="9" t="str">
        <f>INDEX(Crops!$B$2:$B$7,MATCH(D411,Crops!$A$2:$A$7,0))</f>
        <v>Soybean</v>
      </c>
      <c r="R411" s="9" t="str">
        <f>INDEX(Districts!$B$2:$B$6,MATCH(C411,Districts!$A$2:$A$6,0))</f>
        <v>Tamale Metro</v>
      </c>
    </row>
    <row r="412" spans="1:18">
      <c r="A412" t="s">
        <v>201</v>
      </c>
      <c r="B412" s="4">
        <v>46053</v>
      </c>
      <c r="C412" t="s">
        <v>47</v>
      </c>
      <c r="D412" t="s">
        <v>39</v>
      </c>
      <c r="E412">
        <v>9.3000000000000007</v>
      </c>
      <c r="F412">
        <v>13290.7</v>
      </c>
      <c r="G412">
        <v>283.60000000000002</v>
      </c>
      <c r="H412">
        <v>13007.1</v>
      </c>
      <c r="I412" t="s">
        <v>65</v>
      </c>
      <c r="J412">
        <v>4.7699999999999996</v>
      </c>
      <c r="K412">
        <v>12425.81</v>
      </c>
      <c r="L412">
        <f t="shared" si="30"/>
        <v>1429.1075268817203</v>
      </c>
      <c r="M412" s="8">
        <f t="shared" si="31"/>
        <v>2.1338228987186531E-2</v>
      </c>
      <c r="N412" s="10">
        <f t="shared" si="32"/>
        <v>62043.866999999998</v>
      </c>
      <c r="O412" s="10">
        <f t="shared" si="33"/>
        <v>49618.057000000001</v>
      </c>
      <c r="P412" s="9" t="str">
        <f t="shared" si="34"/>
        <v>OK</v>
      </c>
      <c r="Q412" s="9" t="str">
        <f>INDEX(Crops!$B$2:$B$7,MATCH(D412,Crops!$A$2:$A$7,0))</f>
        <v>Soybean</v>
      </c>
      <c r="R412" s="9" t="str">
        <f>INDEX(Districts!$B$2:$B$6,MATCH(C412,Districts!$A$2:$A$6,0))</f>
        <v>Techiman</v>
      </c>
    </row>
    <row r="413" spans="1:18">
      <c r="A413" t="s">
        <v>103</v>
      </c>
      <c r="B413" s="4">
        <v>46119</v>
      </c>
      <c r="C413" t="s">
        <v>53</v>
      </c>
      <c r="D413" t="s">
        <v>35</v>
      </c>
      <c r="E413">
        <v>12.5</v>
      </c>
      <c r="F413">
        <v>114594.1</v>
      </c>
      <c r="G413">
        <v>6416.7</v>
      </c>
      <c r="H413">
        <v>108177.4</v>
      </c>
      <c r="I413" t="s">
        <v>77</v>
      </c>
      <c r="J413">
        <v>7.71</v>
      </c>
      <c r="K413">
        <v>14445.52</v>
      </c>
      <c r="L413">
        <f t="shared" si="30"/>
        <v>9167.5280000000002</v>
      </c>
      <c r="M413" s="8">
        <f t="shared" si="31"/>
        <v>5.5995029412509015E-2</v>
      </c>
      <c r="N413" s="10">
        <f t="shared" si="32"/>
        <v>834047.75399999996</v>
      </c>
      <c r="O413" s="10">
        <f t="shared" si="33"/>
        <v>819602.23399999994</v>
      </c>
      <c r="P413" s="9" t="str">
        <f t="shared" si="34"/>
        <v>OK</v>
      </c>
      <c r="Q413" s="9" t="str">
        <f>INDEX(Crops!$B$2:$B$7,MATCH(D413,Crops!$A$2:$A$7,0))</f>
        <v>Tomato</v>
      </c>
      <c r="R413" s="9" t="str">
        <f>INDEX(Districts!$B$2:$B$6,MATCH(C413,Districts!$A$2:$A$6,0))</f>
        <v>Hohoe</v>
      </c>
    </row>
    <row r="414" spans="1:18">
      <c r="A414" t="s">
        <v>235</v>
      </c>
      <c r="B414" s="4">
        <v>45917</v>
      </c>
      <c r="C414" t="s">
        <v>51</v>
      </c>
      <c r="D414" t="s">
        <v>33</v>
      </c>
      <c r="E414">
        <v>3</v>
      </c>
      <c r="F414">
        <v>6948.1</v>
      </c>
      <c r="G414">
        <v>676.8</v>
      </c>
      <c r="H414">
        <v>6271.3</v>
      </c>
      <c r="I414" t="s">
        <v>70</v>
      </c>
      <c r="J414">
        <v>6.4</v>
      </c>
      <c r="K414">
        <v>5128.32</v>
      </c>
      <c r="L414">
        <f t="shared" si="30"/>
        <v>2316.0333333333333</v>
      </c>
      <c r="M414" s="8">
        <f t="shared" si="31"/>
        <v>9.740792446855974E-2</v>
      </c>
      <c r="N414" s="10">
        <f t="shared" si="32"/>
        <v>40136.320000000007</v>
      </c>
      <c r="O414" s="10">
        <f t="shared" si="33"/>
        <v>35008.000000000007</v>
      </c>
      <c r="P414" s="9" t="str">
        <f t="shared" si="34"/>
        <v>OK</v>
      </c>
      <c r="Q414" s="9" t="str">
        <f>INDEX(Crops!$B$2:$B$7,MATCH(D414,Crops!$A$2:$A$7,0))</f>
        <v>Rice</v>
      </c>
      <c r="R414" s="9" t="str">
        <f>INDEX(Districts!$B$2:$B$6,MATCH(C414,Districts!$A$2:$A$6,0))</f>
        <v>Kintampo</v>
      </c>
    </row>
    <row r="415" spans="1:18">
      <c r="A415" t="s">
        <v>82</v>
      </c>
      <c r="B415" s="4">
        <v>46033</v>
      </c>
      <c r="C415" t="s">
        <v>53</v>
      </c>
      <c r="D415" t="s">
        <v>31</v>
      </c>
      <c r="E415">
        <v>5</v>
      </c>
      <c r="F415">
        <v>6698.6</v>
      </c>
      <c r="G415">
        <v>767.3</v>
      </c>
      <c r="H415">
        <v>5931.3</v>
      </c>
      <c r="I415" t="s">
        <v>67</v>
      </c>
      <c r="J415">
        <v>2.87</v>
      </c>
      <c r="K415">
        <v>3513.07</v>
      </c>
      <c r="L415">
        <f t="shared" si="30"/>
        <v>1339.72</v>
      </c>
      <c r="M415" s="8">
        <f t="shared" si="31"/>
        <v>0.11454632311229211</v>
      </c>
      <c r="N415" s="10">
        <f t="shared" si="32"/>
        <v>17022.831000000002</v>
      </c>
      <c r="O415" s="10">
        <f t="shared" si="33"/>
        <v>13509.761000000002</v>
      </c>
      <c r="P415" s="9" t="str">
        <f t="shared" si="34"/>
        <v>OK</v>
      </c>
      <c r="Q415" s="9" t="str">
        <f>INDEX(Crops!$B$2:$B$7,MATCH(D415,Crops!$A$2:$A$7,0))</f>
        <v>Maize</v>
      </c>
      <c r="R415" s="9" t="str">
        <f>INDEX(Districts!$B$2:$B$6,MATCH(C415,Districts!$A$2:$A$6,0))</f>
        <v>Hohoe</v>
      </c>
    </row>
    <row r="416" spans="1:18">
      <c r="A416" t="s">
        <v>236</v>
      </c>
      <c r="B416" s="4">
        <v>46202</v>
      </c>
      <c r="C416" t="s">
        <v>47</v>
      </c>
      <c r="D416" t="s">
        <v>41</v>
      </c>
      <c r="E416">
        <v>14.5</v>
      </c>
      <c r="F416">
        <v>117206.7</v>
      </c>
      <c r="G416">
        <v>2823.2</v>
      </c>
      <c r="H416">
        <v>114383.5</v>
      </c>
      <c r="I416" t="s">
        <v>67</v>
      </c>
      <c r="J416">
        <v>2.66</v>
      </c>
      <c r="K416">
        <v>20163.32</v>
      </c>
      <c r="L416">
        <f t="shared" si="30"/>
        <v>8083.2206896551725</v>
      </c>
      <c r="M416" s="8">
        <f t="shared" si="31"/>
        <v>2.4087360193572552E-2</v>
      </c>
      <c r="N416" s="10">
        <f t="shared" si="32"/>
        <v>304260.11000000004</v>
      </c>
      <c r="O416" s="10">
        <f t="shared" si="33"/>
        <v>284096.79000000004</v>
      </c>
      <c r="P416" s="9" t="str">
        <f t="shared" si="34"/>
        <v>OK</v>
      </c>
      <c r="Q416" s="9" t="str">
        <f>INDEX(Crops!$B$2:$B$7,MATCH(D416,Crops!$A$2:$A$7,0))</f>
        <v>Cassava</v>
      </c>
      <c r="R416" s="9" t="str">
        <f>INDEX(Districts!$B$2:$B$6,MATCH(C416,Districts!$A$2:$A$6,0))</f>
        <v>Techiman</v>
      </c>
    </row>
    <row r="417" spans="1:18">
      <c r="A417" t="s">
        <v>244</v>
      </c>
      <c r="B417" s="4">
        <v>46193</v>
      </c>
      <c r="C417" t="s">
        <v>51</v>
      </c>
      <c r="D417" t="s">
        <v>37</v>
      </c>
      <c r="E417">
        <v>13.2</v>
      </c>
      <c r="F417">
        <v>74738.899999999994</v>
      </c>
      <c r="G417">
        <v>4793.3</v>
      </c>
      <c r="H417">
        <v>69945.600000000006</v>
      </c>
      <c r="I417" t="s">
        <v>77</v>
      </c>
      <c r="J417">
        <v>9.1300000000000008</v>
      </c>
      <c r="K417">
        <v>22487.21</v>
      </c>
      <c r="L417">
        <f t="shared" si="30"/>
        <v>5662.037878787879</v>
      </c>
      <c r="M417" s="8">
        <f t="shared" si="31"/>
        <v>6.4133938283812059E-2</v>
      </c>
      <c r="N417" s="10">
        <f t="shared" si="32"/>
        <v>638603.3280000001</v>
      </c>
      <c r="O417" s="10">
        <f t="shared" si="33"/>
        <v>616116.11800000013</v>
      </c>
      <c r="P417" s="9" t="str">
        <f t="shared" si="34"/>
        <v>OK</v>
      </c>
      <c r="Q417" s="9" t="str">
        <f>INDEX(Crops!$B$2:$B$7,MATCH(D417,Crops!$A$2:$A$7,0))</f>
        <v>Pepper</v>
      </c>
      <c r="R417" s="9" t="str">
        <f>INDEX(Districts!$B$2:$B$6,MATCH(C417,Districts!$A$2:$A$6,0))</f>
        <v>Kintampo</v>
      </c>
    </row>
    <row r="418" spans="1:18">
      <c r="A418" t="s">
        <v>246</v>
      </c>
      <c r="B418" s="4">
        <v>45856</v>
      </c>
      <c r="C418" t="s">
        <v>53</v>
      </c>
      <c r="D418" t="s">
        <v>31</v>
      </c>
      <c r="E418">
        <v>4.3</v>
      </c>
      <c r="F418">
        <v>8898.7999999999993</v>
      </c>
      <c r="G418">
        <v>912.2</v>
      </c>
      <c r="H418">
        <v>7986.6</v>
      </c>
      <c r="I418" t="s">
        <v>65</v>
      </c>
      <c r="J418">
        <v>3.23</v>
      </c>
      <c r="K418">
        <v>4226.59</v>
      </c>
      <c r="L418">
        <f t="shared" si="30"/>
        <v>2069.4883720930234</v>
      </c>
      <c r="M418" s="8">
        <f t="shared" si="31"/>
        <v>0.10250820335326112</v>
      </c>
      <c r="N418" s="10">
        <f t="shared" si="32"/>
        <v>25796.718000000001</v>
      </c>
      <c r="O418" s="10">
        <f t="shared" si="33"/>
        <v>21570.128000000001</v>
      </c>
      <c r="P418" s="9" t="str">
        <f t="shared" si="34"/>
        <v>OK</v>
      </c>
      <c r="Q418" s="9" t="str">
        <f>INDEX(Crops!$B$2:$B$7,MATCH(D418,Crops!$A$2:$A$7,0))</f>
        <v>Maize</v>
      </c>
      <c r="R418" s="9" t="str">
        <f>INDEX(Districts!$B$2:$B$6,MATCH(C418,Districts!$A$2:$A$6,0))</f>
        <v>Hohoe</v>
      </c>
    </row>
    <row r="419" spans="1:18">
      <c r="A419" t="s">
        <v>94</v>
      </c>
      <c r="B419" s="4">
        <v>46060</v>
      </c>
      <c r="C419" t="s">
        <v>49</v>
      </c>
      <c r="D419" t="s">
        <v>37</v>
      </c>
      <c r="E419">
        <v>12.5</v>
      </c>
      <c r="F419">
        <v>64237.7</v>
      </c>
      <c r="G419">
        <v>9842.4</v>
      </c>
      <c r="H419">
        <v>54395.3</v>
      </c>
      <c r="I419" t="s">
        <v>67</v>
      </c>
      <c r="J419">
        <v>10.39</v>
      </c>
      <c r="K419">
        <v>18657.919999999998</v>
      </c>
      <c r="L419">
        <f t="shared" si="30"/>
        <v>5139.0159999999996</v>
      </c>
      <c r="M419" s="8">
        <f t="shared" si="31"/>
        <v>0.15321843714827896</v>
      </c>
      <c r="N419" s="10">
        <f t="shared" si="32"/>
        <v>565167.16700000002</v>
      </c>
      <c r="O419" s="10">
        <f t="shared" si="33"/>
        <v>546509.24699999997</v>
      </c>
      <c r="P419" s="9" t="str">
        <f t="shared" si="34"/>
        <v>OK</v>
      </c>
      <c r="Q419" s="9" t="str">
        <f>INDEX(Crops!$B$2:$B$7,MATCH(D419,Crops!$A$2:$A$7,0))</f>
        <v>Pepper</v>
      </c>
      <c r="R419" s="9" t="str">
        <f>INDEX(Districts!$B$2:$B$6,MATCH(C419,Districts!$A$2:$A$6,0))</f>
        <v>Tamale Metro</v>
      </c>
    </row>
    <row r="420" spans="1:18">
      <c r="A420" t="s">
        <v>180</v>
      </c>
      <c r="B420" s="4">
        <v>46026</v>
      </c>
      <c r="C420" t="s">
        <v>47</v>
      </c>
      <c r="D420" t="s">
        <v>41</v>
      </c>
      <c r="E420">
        <v>6.5</v>
      </c>
      <c r="F420">
        <v>52256.1</v>
      </c>
      <c r="G420">
        <v>6554.9</v>
      </c>
      <c r="H420">
        <v>45701.2</v>
      </c>
      <c r="I420" t="s">
        <v>67</v>
      </c>
      <c r="J420">
        <v>2.0699999999999998</v>
      </c>
      <c r="K420">
        <v>8923.6</v>
      </c>
      <c r="L420">
        <f t="shared" si="30"/>
        <v>8039.4</v>
      </c>
      <c r="M420" s="8">
        <f t="shared" si="31"/>
        <v>0.12543798714408461</v>
      </c>
      <c r="N420" s="10">
        <f t="shared" si="32"/>
        <v>94601.483999999982</v>
      </c>
      <c r="O420" s="10">
        <f t="shared" si="33"/>
        <v>85677.883999999976</v>
      </c>
      <c r="P420" s="9" t="str">
        <f t="shared" si="34"/>
        <v>OK</v>
      </c>
      <c r="Q420" s="9" t="str">
        <f>INDEX(Crops!$B$2:$B$7,MATCH(D420,Crops!$A$2:$A$7,0))</f>
        <v>Cassava</v>
      </c>
      <c r="R420" s="9" t="str">
        <f>INDEX(Districts!$B$2:$B$6,MATCH(C420,Districts!$A$2:$A$6,0))</f>
        <v>Techiman</v>
      </c>
    </row>
    <row r="421" spans="1:18">
      <c r="A421" t="s">
        <v>171</v>
      </c>
      <c r="B421" s="4">
        <v>46194</v>
      </c>
      <c r="C421" t="s">
        <v>47</v>
      </c>
      <c r="D421" t="s">
        <v>35</v>
      </c>
      <c r="E421">
        <v>6.1</v>
      </c>
      <c r="F421">
        <v>41076.199999999997</v>
      </c>
      <c r="G421">
        <v>3393.6</v>
      </c>
      <c r="H421">
        <v>37682.6</v>
      </c>
      <c r="I421" t="s">
        <v>70</v>
      </c>
      <c r="J421">
        <v>6.58</v>
      </c>
      <c r="K421">
        <v>7538.2</v>
      </c>
      <c r="L421">
        <f t="shared" si="30"/>
        <v>6733.8032786885242</v>
      </c>
      <c r="M421" s="8">
        <f t="shared" si="31"/>
        <v>8.2617184647070574E-2</v>
      </c>
      <c r="N421" s="10">
        <f t="shared" si="32"/>
        <v>247951.508</v>
      </c>
      <c r="O421" s="10">
        <f t="shared" si="33"/>
        <v>240413.30799999999</v>
      </c>
      <c r="P421" s="9" t="str">
        <f t="shared" si="34"/>
        <v>OK</v>
      </c>
      <c r="Q421" s="9" t="str">
        <f>INDEX(Crops!$B$2:$B$7,MATCH(D421,Crops!$A$2:$A$7,0))</f>
        <v>Tomato</v>
      </c>
      <c r="R421" s="9" t="str">
        <f>INDEX(Districts!$B$2:$B$6,MATCH(C421,Districts!$A$2:$A$6,0))</f>
        <v>Techiman</v>
      </c>
    </row>
    <row r="422" spans="1:18">
      <c r="A422" t="s">
        <v>146</v>
      </c>
      <c r="B422" s="4">
        <v>45867</v>
      </c>
      <c r="C422" t="s">
        <v>49</v>
      </c>
      <c r="D422" t="s">
        <v>31</v>
      </c>
      <c r="E422">
        <v>5.7</v>
      </c>
      <c r="F422">
        <v>7079.7</v>
      </c>
      <c r="G422">
        <v>967.4</v>
      </c>
      <c r="H422">
        <v>6112.3</v>
      </c>
      <c r="I422" t="s">
        <v>65</v>
      </c>
      <c r="J422">
        <v>3.77</v>
      </c>
      <c r="K422">
        <v>9096.2099999999991</v>
      </c>
      <c r="L422">
        <f t="shared" si="30"/>
        <v>1242.0526315789473</v>
      </c>
      <c r="M422" s="8">
        <f t="shared" si="31"/>
        <v>0.13664420808791333</v>
      </c>
      <c r="N422" s="10">
        <f t="shared" si="32"/>
        <v>23043.370999999999</v>
      </c>
      <c r="O422" s="10">
        <f t="shared" si="33"/>
        <v>13947.161</v>
      </c>
      <c r="P422" s="9" t="str">
        <f t="shared" si="34"/>
        <v>OK</v>
      </c>
      <c r="Q422" s="9" t="str">
        <f>INDEX(Crops!$B$2:$B$7,MATCH(D422,Crops!$A$2:$A$7,0))</f>
        <v>Maize</v>
      </c>
      <c r="R422" s="9" t="str">
        <f>INDEX(Districts!$B$2:$B$6,MATCH(C422,Districts!$A$2:$A$6,0))</f>
        <v>Tamale Metro</v>
      </c>
    </row>
    <row r="423" spans="1:18">
      <c r="A423" t="s">
        <v>75</v>
      </c>
      <c r="B423" s="4">
        <v>45881</v>
      </c>
      <c r="C423" t="s">
        <v>45</v>
      </c>
      <c r="D423" t="s">
        <v>39</v>
      </c>
      <c r="E423">
        <v>12.7</v>
      </c>
      <c r="F423">
        <v>16565.3</v>
      </c>
      <c r="G423">
        <v>712.6</v>
      </c>
      <c r="H423">
        <v>15852.7</v>
      </c>
      <c r="I423" t="s">
        <v>70</v>
      </c>
      <c r="J423">
        <v>5.01</v>
      </c>
      <c r="K423">
        <v>8571.9500000000007</v>
      </c>
      <c r="L423">
        <f t="shared" si="30"/>
        <v>1304.3543307086613</v>
      </c>
      <c r="M423" s="8">
        <f t="shared" si="31"/>
        <v>4.3017633245398514E-2</v>
      </c>
      <c r="N423" s="10">
        <f t="shared" si="32"/>
        <v>79422.027000000002</v>
      </c>
      <c r="O423" s="10">
        <f t="shared" si="33"/>
        <v>70850.077000000005</v>
      </c>
      <c r="P423" s="9" t="str">
        <f t="shared" si="34"/>
        <v>OK</v>
      </c>
      <c r="Q423" s="9" t="str">
        <f>INDEX(Crops!$B$2:$B$7,MATCH(D423,Crops!$A$2:$A$7,0))</f>
        <v>Soybean</v>
      </c>
      <c r="R423" s="9" t="str">
        <f>INDEX(Districts!$B$2:$B$6,MATCH(C423,Districts!$A$2:$A$6,0))</f>
        <v>Ejura</v>
      </c>
    </row>
    <row r="424" spans="1:18">
      <c r="A424" t="s">
        <v>166</v>
      </c>
      <c r="B424" s="4">
        <v>45937</v>
      </c>
      <c r="C424" t="s">
        <v>51</v>
      </c>
      <c r="D424" t="s">
        <v>31</v>
      </c>
      <c r="E424">
        <v>9.5</v>
      </c>
      <c r="F424">
        <v>22092.400000000001</v>
      </c>
      <c r="G424">
        <v>1998.5</v>
      </c>
      <c r="H424">
        <v>20093.900000000001</v>
      </c>
      <c r="I424" t="s">
        <v>65</v>
      </c>
      <c r="J424">
        <v>3.11</v>
      </c>
      <c r="K424">
        <v>11335.89</v>
      </c>
      <c r="L424">
        <f t="shared" si="30"/>
        <v>2325.5157894736844</v>
      </c>
      <c r="M424" s="8">
        <f t="shared" si="31"/>
        <v>9.0460973004291068E-2</v>
      </c>
      <c r="N424" s="10">
        <f t="shared" si="32"/>
        <v>62492.029000000002</v>
      </c>
      <c r="O424" s="10">
        <f t="shared" si="33"/>
        <v>51156.139000000003</v>
      </c>
      <c r="P424" s="9" t="str">
        <f t="shared" si="34"/>
        <v>OK</v>
      </c>
      <c r="Q424" s="9" t="str">
        <f>INDEX(Crops!$B$2:$B$7,MATCH(D424,Crops!$A$2:$A$7,0))</f>
        <v>Maize</v>
      </c>
      <c r="R424" s="9" t="str">
        <f>INDEX(Districts!$B$2:$B$6,MATCH(C424,Districts!$A$2:$A$6,0))</f>
        <v>Kintampo</v>
      </c>
    </row>
    <row r="425" spans="1:18">
      <c r="A425" t="s">
        <v>212</v>
      </c>
      <c r="B425" s="4">
        <v>45911</v>
      </c>
      <c r="C425" t="s">
        <v>49</v>
      </c>
      <c r="D425" t="s">
        <v>39</v>
      </c>
      <c r="E425">
        <v>3.2</v>
      </c>
      <c r="F425">
        <v>4931.3</v>
      </c>
      <c r="G425">
        <v>243.6</v>
      </c>
      <c r="H425">
        <v>4687.7</v>
      </c>
      <c r="I425" t="s">
        <v>70</v>
      </c>
      <c r="J425">
        <v>4.18</v>
      </c>
      <c r="K425">
        <v>5548.13</v>
      </c>
      <c r="L425">
        <f t="shared" si="30"/>
        <v>1541.03125</v>
      </c>
      <c r="M425" s="8">
        <f t="shared" si="31"/>
        <v>4.9398738669316405E-2</v>
      </c>
      <c r="N425" s="10">
        <f t="shared" si="32"/>
        <v>19594.585999999999</v>
      </c>
      <c r="O425" s="10">
        <f t="shared" si="33"/>
        <v>14046.455999999998</v>
      </c>
      <c r="P425" s="9" t="str">
        <f t="shared" si="34"/>
        <v>OK</v>
      </c>
      <c r="Q425" s="9" t="str">
        <f>INDEX(Crops!$B$2:$B$7,MATCH(D425,Crops!$A$2:$A$7,0))</f>
        <v>Soybean</v>
      </c>
      <c r="R425" s="9" t="str">
        <f>INDEX(Districts!$B$2:$B$6,MATCH(C425,Districts!$A$2:$A$6,0))</f>
        <v>Tamale Metro</v>
      </c>
    </row>
    <row r="426" spans="1:18">
      <c r="A426" t="s">
        <v>247</v>
      </c>
      <c r="B426" s="4">
        <v>46059</v>
      </c>
      <c r="C426" t="s">
        <v>53</v>
      </c>
      <c r="D426" t="s">
        <v>35</v>
      </c>
      <c r="E426">
        <v>11.4</v>
      </c>
      <c r="F426">
        <v>91039.1</v>
      </c>
      <c r="G426">
        <v>13555.7</v>
      </c>
      <c r="H426">
        <v>77483.399999999994</v>
      </c>
      <c r="I426" t="s">
        <v>70</v>
      </c>
      <c r="J426">
        <v>7.61</v>
      </c>
      <c r="K426">
        <v>19819.150000000001</v>
      </c>
      <c r="L426">
        <f t="shared" si="30"/>
        <v>7985.8859649122805</v>
      </c>
      <c r="M426" s="8">
        <f t="shared" si="31"/>
        <v>0.14889975845543288</v>
      </c>
      <c r="N426" s="10">
        <f t="shared" si="32"/>
        <v>589648.674</v>
      </c>
      <c r="O426" s="10">
        <f t="shared" si="33"/>
        <v>569829.52399999998</v>
      </c>
      <c r="P426" s="9" t="str">
        <f t="shared" si="34"/>
        <v>OK</v>
      </c>
      <c r="Q426" s="9" t="str">
        <f>INDEX(Crops!$B$2:$B$7,MATCH(D426,Crops!$A$2:$A$7,0))</f>
        <v>Tomato</v>
      </c>
      <c r="R426" s="9" t="str">
        <f>INDEX(Districts!$B$2:$B$6,MATCH(C426,Districts!$A$2:$A$6,0))</f>
        <v>Hohoe</v>
      </c>
    </row>
    <row r="427" spans="1:18">
      <c r="A427" t="s">
        <v>212</v>
      </c>
      <c r="B427" s="4">
        <v>46125</v>
      </c>
      <c r="C427" t="s">
        <v>51</v>
      </c>
      <c r="D427" t="s">
        <v>33</v>
      </c>
      <c r="E427">
        <v>5.3</v>
      </c>
      <c r="F427">
        <v>12303.9</v>
      </c>
      <c r="G427">
        <v>1147</v>
      </c>
      <c r="H427">
        <v>11156.9</v>
      </c>
      <c r="I427" t="s">
        <v>67</v>
      </c>
      <c r="J427">
        <v>6.66</v>
      </c>
      <c r="K427">
        <v>6788.8</v>
      </c>
      <c r="L427">
        <f t="shared" si="30"/>
        <v>2321.4905660377358</v>
      </c>
      <c r="M427" s="8">
        <f t="shared" si="31"/>
        <v>9.322247417485513E-2</v>
      </c>
      <c r="N427" s="10">
        <f t="shared" si="32"/>
        <v>74304.953999999998</v>
      </c>
      <c r="O427" s="10">
        <f t="shared" si="33"/>
        <v>67516.153999999995</v>
      </c>
      <c r="P427" s="9" t="str">
        <f t="shared" si="34"/>
        <v>OK</v>
      </c>
      <c r="Q427" s="9" t="str">
        <f>INDEX(Crops!$B$2:$B$7,MATCH(D427,Crops!$A$2:$A$7,0))</f>
        <v>Rice</v>
      </c>
      <c r="R427" s="9" t="str">
        <f>INDEX(Districts!$B$2:$B$6,MATCH(C427,Districts!$A$2:$A$6,0))</f>
        <v>Kintampo</v>
      </c>
    </row>
    <row r="428" spans="1:18">
      <c r="A428" t="s">
        <v>120</v>
      </c>
      <c r="B428" s="4">
        <v>45971</v>
      </c>
      <c r="C428" t="s">
        <v>51</v>
      </c>
      <c r="D428" t="s">
        <v>35</v>
      </c>
      <c r="E428">
        <v>2.5</v>
      </c>
      <c r="F428">
        <v>15544.5</v>
      </c>
      <c r="G428">
        <v>1826.5</v>
      </c>
      <c r="H428">
        <v>13718</v>
      </c>
      <c r="I428" t="s">
        <v>70</v>
      </c>
      <c r="J428">
        <v>5.77</v>
      </c>
      <c r="K428">
        <v>3872.74</v>
      </c>
      <c r="L428">
        <f t="shared" si="30"/>
        <v>6217.8</v>
      </c>
      <c r="M428" s="8">
        <f t="shared" si="31"/>
        <v>0.11750136704300557</v>
      </c>
      <c r="N428" s="10">
        <f t="shared" si="32"/>
        <v>79152.86</v>
      </c>
      <c r="O428" s="10">
        <f t="shared" si="33"/>
        <v>75280.12</v>
      </c>
      <c r="P428" s="9" t="str">
        <f t="shared" si="34"/>
        <v>OK</v>
      </c>
      <c r="Q428" s="9" t="str">
        <f>INDEX(Crops!$B$2:$B$7,MATCH(D428,Crops!$A$2:$A$7,0))</f>
        <v>Tomato</v>
      </c>
      <c r="R428" s="9" t="str">
        <f>INDEX(Districts!$B$2:$B$6,MATCH(C428,Districts!$A$2:$A$6,0))</f>
        <v>Kintampo</v>
      </c>
    </row>
    <row r="429" spans="1:18">
      <c r="A429" t="s">
        <v>151</v>
      </c>
      <c r="B429" s="4">
        <v>45886</v>
      </c>
      <c r="C429" t="s">
        <v>45</v>
      </c>
      <c r="D429" t="s">
        <v>33</v>
      </c>
      <c r="E429">
        <v>10.199999999999999</v>
      </c>
      <c r="F429">
        <v>23011.3</v>
      </c>
      <c r="G429">
        <v>831.5</v>
      </c>
      <c r="H429">
        <v>22179.8</v>
      </c>
      <c r="I429" t="s">
        <v>77</v>
      </c>
      <c r="J429">
        <v>5.71</v>
      </c>
      <c r="K429">
        <v>10029.36</v>
      </c>
      <c r="L429">
        <f t="shared" si="30"/>
        <v>2256.0098039215686</v>
      </c>
      <c r="M429" s="8">
        <f t="shared" si="31"/>
        <v>3.6134420914941789E-2</v>
      </c>
      <c r="N429" s="10">
        <f t="shared" si="32"/>
        <v>126646.658</v>
      </c>
      <c r="O429" s="10">
        <f t="shared" si="33"/>
        <v>116617.298</v>
      </c>
      <c r="P429" s="9" t="str">
        <f t="shared" si="34"/>
        <v>OK</v>
      </c>
      <c r="Q429" s="9" t="str">
        <f>INDEX(Crops!$B$2:$B$7,MATCH(D429,Crops!$A$2:$A$7,0))</f>
        <v>Rice</v>
      </c>
      <c r="R429" s="9" t="str">
        <f>INDEX(Districts!$B$2:$B$6,MATCH(C429,Districts!$A$2:$A$6,0))</f>
        <v>Ejura</v>
      </c>
    </row>
    <row r="430" spans="1:18">
      <c r="A430" t="s">
        <v>98</v>
      </c>
      <c r="B430" s="4">
        <v>46076</v>
      </c>
      <c r="C430" t="s">
        <v>45</v>
      </c>
      <c r="D430" t="s">
        <v>33</v>
      </c>
      <c r="E430">
        <v>4.9000000000000004</v>
      </c>
      <c r="F430">
        <v>14012.8</v>
      </c>
      <c r="G430">
        <v>1421.6</v>
      </c>
      <c r="H430">
        <v>12591.2</v>
      </c>
      <c r="I430" t="s">
        <v>65</v>
      </c>
      <c r="J430">
        <v>6.7</v>
      </c>
      <c r="K430">
        <v>4047.1</v>
      </c>
      <c r="L430">
        <f t="shared" si="30"/>
        <v>2859.7551020408159</v>
      </c>
      <c r="M430" s="8">
        <f t="shared" si="31"/>
        <v>0.10145010276318794</v>
      </c>
      <c r="N430" s="10">
        <f t="shared" si="32"/>
        <v>84361.040000000008</v>
      </c>
      <c r="O430" s="10">
        <f t="shared" si="33"/>
        <v>80313.94</v>
      </c>
      <c r="P430" s="9" t="str">
        <f t="shared" si="34"/>
        <v>OK</v>
      </c>
      <c r="Q430" s="9" t="str">
        <f>INDEX(Crops!$B$2:$B$7,MATCH(D430,Crops!$A$2:$A$7,0))</f>
        <v>Rice</v>
      </c>
      <c r="R430" s="9" t="str">
        <f>INDEX(Districts!$B$2:$B$6,MATCH(C430,Districts!$A$2:$A$6,0))</f>
        <v>Ejura</v>
      </c>
    </row>
    <row r="431" spans="1:18">
      <c r="A431" t="s">
        <v>248</v>
      </c>
      <c r="B431" s="4">
        <v>46068</v>
      </c>
      <c r="C431" t="s">
        <v>51</v>
      </c>
      <c r="D431" t="s">
        <v>39</v>
      </c>
      <c r="E431">
        <v>1.6</v>
      </c>
      <c r="F431">
        <v>2937.7</v>
      </c>
      <c r="G431">
        <v>422.7</v>
      </c>
      <c r="H431">
        <v>2515</v>
      </c>
      <c r="I431" t="s">
        <v>65</v>
      </c>
      <c r="J431">
        <v>4.16</v>
      </c>
      <c r="K431">
        <v>2269.64</v>
      </c>
      <c r="L431">
        <f t="shared" si="30"/>
        <v>1836.0624999999998</v>
      </c>
      <c r="M431" s="8">
        <f t="shared" si="31"/>
        <v>0.1438880757054839</v>
      </c>
      <c r="N431" s="10">
        <f t="shared" si="32"/>
        <v>10462.4</v>
      </c>
      <c r="O431" s="10">
        <f t="shared" si="33"/>
        <v>8192.76</v>
      </c>
      <c r="P431" s="9" t="str">
        <f t="shared" si="34"/>
        <v>OK</v>
      </c>
      <c r="Q431" s="9" t="str">
        <f>INDEX(Crops!$B$2:$B$7,MATCH(D431,Crops!$A$2:$A$7,0))</f>
        <v>Soybean</v>
      </c>
      <c r="R431" s="9" t="str">
        <f>INDEX(Districts!$B$2:$B$6,MATCH(C431,Districts!$A$2:$A$6,0))</f>
        <v>Kintampo</v>
      </c>
    </row>
    <row r="432" spans="1:18">
      <c r="A432" t="s">
        <v>138</v>
      </c>
      <c r="B432" s="4">
        <v>45971</v>
      </c>
      <c r="C432" t="s">
        <v>49</v>
      </c>
      <c r="D432" t="s">
        <v>31</v>
      </c>
      <c r="E432">
        <v>2.5</v>
      </c>
      <c r="F432">
        <v>5979.9</v>
      </c>
      <c r="G432">
        <v>397.4</v>
      </c>
      <c r="H432">
        <v>5582.5</v>
      </c>
      <c r="I432" t="s">
        <v>65</v>
      </c>
      <c r="J432">
        <v>3.57</v>
      </c>
      <c r="K432">
        <v>2080.33</v>
      </c>
      <c r="L432">
        <f t="shared" si="30"/>
        <v>2391.96</v>
      </c>
      <c r="M432" s="8">
        <f t="shared" si="31"/>
        <v>6.6455960802020098E-2</v>
      </c>
      <c r="N432" s="10">
        <f t="shared" si="32"/>
        <v>19929.524999999998</v>
      </c>
      <c r="O432" s="10">
        <f t="shared" si="33"/>
        <v>17849.195</v>
      </c>
      <c r="P432" s="9" t="str">
        <f t="shared" si="34"/>
        <v>OK</v>
      </c>
      <c r="Q432" s="9" t="str">
        <f>INDEX(Crops!$B$2:$B$7,MATCH(D432,Crops!$A$2:$A$7,0))</f>
        <v>Maize</v>
      </c>
      <c r="R432" s="9" t="str">
        <f>INDEX(Districts!$B$2:$B$6,MATCH(C432,Districts!$A$2:$A$6,0))</f>
        <v>Tamale Metro</v>
      </c>
    </row>
    <row r="433" spans="1:18">
      <c r="A433" t="s">
        <v>149</v>
      </c>
      <c r="B433" s="4">
        <v>45852</v>
      </c>
      <c r="C433" t="s">
        <v>45</v>
      </c>
      <c r="D433" t="s">
        <v>39</v>
      </c>
      <c r="E433">
        <v>11.8</v>
      </c>
      <c r="F433">
        <v>17994.900000000001</v>
      </c>
      <c r="G433">
        <v>377.4</v>
      </c>
      <c r="H433">
        <v>17617.5</v>
      </c>
      <c r="I433" t="s">
        <v>77</v>
      </c>
      <c r="J433">
        <v>3.99</v>
      </c>
      <c r="K433">
        <v>11316.81</v>
      </c>
      <c r="L433">
        <f t="shared" si="30"/>
        <v>1524.9915254237289</v>
      </c>
      <c r="M433" s="8">
        <f t="shared" si="31"/>
        <v>2.0972608905856657E-2</v>
      </c>
      <c r="N433" s="10">
        <f t="shared" si="32"/>
        <v>70293.824999999997</v>
      </c>
      <c r="O433" s="10">
        <f t="shared" si="33"/>
        <v>58977.014999999999</v>
      </c>
      <c r="P433" s="9" t="str">
        <f t="shared" si="34"/>
        <v>OK</v>
      </c>
      <c r="Q433" s="9" t="str">
        <f>INDEX(Crops!$B$2:$B$7,MATCH(D433,Crops!$A$2:$A$7,0))</f>
        <v>Soybean</v>
      </c>
      <c r="R433" s="9" t="str">
        <f>INDEX(Districts!$B$2:$B$6,MATCH(C433,Districts!$A$2:$A$6,0))</f>
        <v>Ejura</v>
      </c>
    </row>
    <row r="434" spans="1:18">
      <c r="A434" t="s">
        <v>208</v>
      </c>
      <c r="B434" s="4">
        <v>45980</v>
      </c>
      <c r="C434" t="s">
        <v>53</v>
      </c>
      <c r="D434" t="s">
        <v>39</v>
      </c>
      <c r="E434">
        <v>10.1</v>
      </c>
      <c r="F434">
        <v>16908.3</v>
      </c>
      <c r="G434">
        <v>1456.6</v>
      </c>
      <c r="H434">
        <v>15451.7</v>
      </c>
      <c r="I434" t="s">
        <v>70</v>
      </c>
      <c r="J434">
        <v>3.97</v>
      </c>
      <c r="K434">
        <v>17792.97</v>
      </c>
      <c r="L434">
        <f t="shared" si="30"/>
        <v>1674.0891089108911</v>
      </c>
      <c r="M434" s="8">
        <f t="shared" si="31"/>
        <v>8.6147040211020626E-2</v>
      </c>
      <c r="N434" s="10">
        <f t="shared" si="32"/>
        <v>61343.249000000003</v>
      </c>
      <c r="O434" s="10">
        <f t="shared" si="33"/>
        <v>43550.279000000002</v>
      </c>
      <c r="P434" s="9" t="str">
        <f t="shared" si="34"/>
        <v>OK</v>
      </c>
      <c r="Q434" s="9" t="str">
        <f>INDEX(Crops!$B$2:$B$7,MATCH(D434,Crops!$A$2:$A$7,0))</f>
        <v>Soybean</v>
      </c>
      <c r="R434" s="9" t="str">
        <f>INDEX(Districts!$B$2:$B$6,MATCH(C434,Districts!$A$2:$A$6,0))</f>
        <v>Hohoe</v>
      </c>
    </row>
    <row r="435" spans="1:18">
      <c r="A435" t="s">
        <v>249</v>
      </c>
      <c r="B435" s="4">
        <v>45932</v>
      </c>
      <c r="C435" t="s">
        <v>49</v>
      </c>
      <c r="D435" t="s">
        <v>33</v>
      </c>
      <c r="E435">
        <v>7</v>
      </c>
      <c r="F435">
        <v>16115.5</v>
      </c>
      <c r="G435">
        <v>2173</v>
      </c>
      <c r="H435">
        <v>13942.5</v>
      </c>
      <c r="I435" t="s">
        <v>77</v>
      </c>
      <c r="J435">
        <v>5.27</v>
      </c>
      <c r="K435">
        <v>8933.73</v>
      </c>
      <c r="L435">
        <f t="shared" si="30"/>
        <v>2302.2142857142858</v>
      </c>
      <c r="M435" s="8">
        <f t="shared" si="31"/>
        <v>0.13483913003009526</v>
      </c>
      <c r="N435" s="10">
        <f t="shared" si="32"/>
        <v>73476.974999999991</v>
      </c>
      <c r="O435" s="10">
        <f t="shared" si="33"/>
        <v>64543.244999999995</v>
      </c>
      <c r="P435" s="9" t="str">
        <f t="shared" si="34"/>
        <v>OK</v>
      </c>
      <c r="Q435" s="9" t="str">
        <f>INDEX(Crops!$B$2:$B$7,MATCH(D435,Crops!$A$2:$A$7,0))</f>
        <v>Rice</v>
      </c>
      <c r="R435" s="9" t="str">
        <f>INDEX(Districts!$B$2:$B$6,MATCH(C435,Districts!$A$2:$A$6,0))</f>
        <v>Tamale Metro</v>
      </c>
    </row>
    <row r="436" spans="1:18">
      <c r="A436" t="s">
        <v>170</v>
      </c>
      <c r="B436" s="4">
        <v>46170</v>
      </c>
      <c r="C436" t="s">
        <v>53</v>
      </c>
      <c r="D436" t="s">
        <v>41</v>
      </c>
      <c r="E436">
        <v>9.5</v>
      </c>
      <c r="F436">
        <v>75019.600000000006</v>
      </c>
      <c r="G436">
        <v>8742.2000000000007</v>
      </c>
      <c r="H436">
        <v>66277.399999999994</v>
      </c>
      <c r="I436" t="s">
        <v>65</v>
      </c>
      <c r="J436">
        <v>2.48</v>
      </c>
      <c r="K436">
        <v>12791.86</v>
      </c>
      <c r="L436">
        <f t="shared" si="30"/>
        <v>7896.8</v>
      </c>
      <c r="M436" s="8">
        <f t="shared" si="31"/>
        <v>0.11653221291502487</v>
      </c>
      <c r="N436" s="10">
        <f t="shared" si="32"/>
        <v>164367.95199999999</v>
      </c>
      <c r="O436" s="10">
        <f t="shared" si="33"/>
        <v>151576.092</v>
      </c>
      <c r="P436" s="9" t="str">
        <f t="shared" si="34"/>
        <v>OK</v>
      </c>
      <c r="Q436" s="9" t="str">
        <f>INDEX(Crops!$B$2:$B$7,MATCH(D436,Crops!$A$2:$A$7,0))</f>
        <v>Cassava</v>
      </c>
      <c r="R436" s="9" t="str">
        <f>INDEX(Districts!$B$2:$B$6,MATCH(C436,Districts!$A$2:$A$6,0))</f>
        <v>Hohoe</v>
      </c>
    </row>
    <row r="437" spans="1:18">
      <c r="A437" t="s">
        <v>114</v>
      </c>
      <c r="B437" s="4">
        <v>46161</v>
      </c>
      <c r="C437" t="s">
        <v>51</v>
      </c>
      <c r="D437" t="s">
        <v>37</v>
      </c>
      <c r="E437">
        <v>4.0999999999999996</v>
      </c>
      <c r="F437">
        <v>14512.5</v>
      </c>
      <c r="G437">
        <v>1150.4000000000001</v>
      </c>
      <c r="H437">
        <v>13362.1</v>
      </c>
      <c r="I437" t="s">
        <v>70</v>
      </c>
      <c r="J437">
        <v>8.74</v>
      </c>
      <c r="K437">
        <v>5964.55</v>
      </c>
      <c r="L437">
        <f t="shared" si="30"/>
        <v>3539.6341463414637</v>
      </c>
      <c r="M437" s="8">
        <f t="shared" si="31"/>
        <v>7.9269595176571922E-2</v>
      </c>
      <c r="N437" s="10">
        <f t="shared" si="32"/>
        <v>116784.754</v>
      </c>
      <c r="O437" s="10">
        <f t="shared" si="33"/>
        <v>110820.204</v>
      </c>
      <c r="P437" s="9" t="str">
        <f t="shared" si="34"/>
        <v>OK</v>
      </c>
      <c r="Q437" s="9" t="str">
        <f>INDEX(Crops!$B$2:$B$7,MATCH(D437,Crops!$A$2:$A$7,0))</f>
        <v>Pepper</v>
      </c>
      <c r="R437" s="9" t="str">
        <f>INDEX(Districts!$B$2:$B$6,MATCH(C437,Districts!$A$2:$A$6,0))</f>
        <v>Kintampo</v>
      </c>
    </row>
    <row r="438" spans="1:18">
      <c r="A438" t="s">
        <v>91</v>
      </c>
      <c r="B438" s="4">
        <v>45911</v>
      </c>
      <c r="C438" t="s">
        <v>51</v>
      </c>
      <c r="D438" t="s">
        <v>37</v>
      </c>
      <c r="E438">
        <v>4.0999999999999996</v>
      </c>
      <c r="F438">
        <v>22678.9</v>
      </c>
      <c r="G438">
        <v>2855.1</v>
      </c>
      <c r="H438">
        <v>19823.8</v>
      </c>
      <c r="I438" t="s">
        <v>65</v>
      </c>
      <c r="J438">
        <v>9.7100000000000009</v>
      </c>
      <c r="K438">
        <v>5721.01</v>
      </c>
      <c r="L438">
        <f t="shared" si="30"/>
        <v>5531.4390243902444</v>
      </c>
      <c r="M438" s="8">
        <f t="shared" si="31"/>
        <v>0.12589234927619944</v>
      </c>
      <c r="N438" s="10">
        <f t="shared" si="32"/>
        <v>192489.098</v>
      </c>
      <c r="O438" s="10">
        <f t="shared" si="33"/>
        <v>186768.08799999999</v>
      </c>
      <c r="P438" s="9" t="str">
        <f t="shared" si="34"/>
        <v>OK</v>
      </c>
      <c r="Q438" s="9" t="str">
        <f>INDEX(Crops!$B$2:$B$7,MATCH(D438,Crops!$A$2:$A$7,0))</f>
        <v>Pepper</v>
      </c>
      <c r="R438" s="9" t="str">
        <f>INDEX(Districts!$B$2:$B$6,MATCH(C438,Districts!$A$2:$A$6,0))</f>
        <v>Kintampo</v>
      </c>
    </row>
    <row r="439" spans="1:18">
      <c r="A439" t="s">
        <v>160</v>
      </c>
      <c r="B439" s="4">
        <v>46013</v>
      </c>
      <c r="C439" t="s">
        <v>51</v>
      </c>
      <c r="D439" t="s">
        <v>41</v>
      </c>
      <c r="E439">
        <v>12.8</v>
      </c>
      <c r="F439">
        <v>84508.5</v>
      </c>
      <c r="G439">
        <v>4699.3999999999996</v>
      </c>
      <c r="H439">
        <v>79809.100000000006</v>
      </c>
      <c r="I439" t="s">
        <v>77</v>
      </c>
      <c r="J439">
        <v>2.76</v>
      </c>
      <c r="K439">
        <v>10892.41</v>
      </c>
      <c r="L439">
        <f t="shared" si="30"/>
        <v>6602.2265625</v>
      </c>
      <c r="M439" s="8">
        <f t="shared" si="31"/>
        <v>5.5608607418188696E-2</v>
      </c>
      <c r="N439" s="10">
        <f t="shared" si="32"/>
        <v>220273.11600000001</v>
      </c>
      <c r="O439" s="10">
        <f t="shared" si="33"/>
        <v>209380.70600000001</v>
      </c>
      <c r="P439" s="9" t="str">
        <f t="shared" si="34"/>
        <v>OK</v>
      </c>
      <c r="Q439" s="9" t="str">
        <f>INDEX(Crops!$B$2:$B$7,MATCH(D439,Crops!$A$2:$A$7,0))</f>
        <v>Cassava</v>
      </c>
      <c r="R439" s="9" t="str">
        <f>INDEX(Districts!$B$2:$B$6,MATCH(C439,Districts!$A$2:$A$6,0))</f>
        <v>Kintampo</v>
      </c>
    </row>
    <row r="440" spans="1:18">
      <c r="A440" t="s">
        <v>192</v>
      </c>
      <c r="B440" s="4">
        <v>46163</v>
      </c>
      <c r="C440" t="s">
        <v>53</v>
      </c>
      <c r="D440" t="s">
        <v>31</v>
      </c>
      <c r="E440">
        <v>7.8</v>
      </c>
      <c r="F440">
        <v>16260.1</v>
      </c>
      <c r="G440">
        <v>551.79999999999995</v>
      </c>
      <c r="H440">
        <v>15708.3</v>
      </c>
      <c r="I440" t="s">
        <v>67</v>
      </c>
      <c r="J440">
        <v>3.36</v>
      </c>
      <c r="K440">
        <v>7964.03</v>
      </c>
      <c r="L440">
        <f t="shared" si="30"/>
        <v>2084.6282051282051</v>
      </c>
      <c r="M440" s="8">
        <f t="shared" si="31"/>
        <v>3.3935830652948008E-2</v>
      </c>
      <c r="N440" s="10">
        <f t="shared" si="32"/>
        <v>52779.887999999999</v>
      </c>
      <c r="O440" s="10">
        <f t="shared" si="33"/>
        <v>44815.858</v>
      </c>
      <c r="P440" s="9" t="str">
        <f t="shared" si="34"/>
        <v>OK</v>
      </c>
      <c r="Q440" s="9" t="str">
        <f>INDEX(Crops!$B$2:$B$7,MATCH(D440,Crops!$A$2:$A$7,0))</f>
        <v>Maize</v>
      </c>
      <c r="R440" s="9" t="str">
        <f>INDEX(Districts!$B$2:$B$6,MATCH(C440,Districts!$A$2:$A$6,0))</f>
        <v>Hohoe</v>
      </c>
    </row>
    <row r="441" spans="1:18">
      <c r="A441" t="s">
        <v>99</v>
      </c>
      <c r="B441" s="4">
        <v>45878</v>
      </c>
      <c r="C441" t="s">
        <v>51</v>
      </c>
      <c r="D441" t="s">
        <v>33</v>
      </c>
      <c r="E441">
        <v>9.6999999999999993</v>
      </c>
      <c r="F441">
        <v>21005.9</v>
      </c>
      <c r="G441">
        <v>1143.9000000000001</v>
      </c>
      <c r="H441">
        <v>19862</v>
      </c>
      <c r="I441" t="s">
        <v>67</v>
      </c>
      <c r="J441">
        <v>6.54</v>
      </c>
      <c r="K441">
        <v>8834.94</v>
      </c>
      <c r="L441">
        <f t="shared" si="30"/>
        <v>2165.5567010309283</v>
      </c>
      <c r="M441" s="8">
        <f t="shared" si="31"/>
        <v>5.4456128992330724E-2</v>
      </c>
      <c r="N441" s="10">
        <f t="shared" si="32"/>
        <v>129897.48</v>
      </c>
      <c r="O441" s="10">
        <f t="shared" si="33"/>
        <v>121062.54</v>
      </c>
      <c r="P441" s="9" t="str">
        <f t="shared" si="34"/>
        <v>OK</v>
      </c>
      <c r="Q441" s="9" t="str">
        <f>INDEX(Crops!$B$2:$B$7,MATCH(D441,Crops!$A$2:$A$7,0))</f>
        <v>Rice</v>
      </c>
      <c r="R441" s="9" t="str">
        <f>INDEX(Districts!$B$2:$B$6,MATCH(C441,Districts!$A$2:$A$6,0))</f>
        <v>Kintampo</v>
      </c>
    </row>
    <row r="442" spans="1:18">
      <c r="A442" t="s">
        <v>201</v>
      </c>
      <c r="B442" s="4">
        <v>46098</v>
      </c>
      <c r="C442" t="s">
        <v>49</v>
      </c>
      <c r="D442" t="s">
        <v>31</v>
      </c>
      <c r="E442">
        <v>10.6</v>
      </c>
      <c r="F442">
        <v>21811.599999999999</v>
      </c>
      <c r="G442">
        <v>2009.4</v>
      </c>
      <c r="H442">
        <v>19802.2</v>
      </c>
      <c r="I442" t="s">
        <v>77</v>
      </c>
      <c r="J442">
        <v>3.39</v>
      </c>
      <c r="K442">
        <v>7908.03</v>
      </c>
      <c r="L442">
        <f t="shared" si="30"/>
        <v>2057.6981132075471</v>
      </c>
      <c r="M442" s="8">
        <f t="shared" si="31"/>
        <v>9.2125291129490736E-2</v>
      </c>
      <c r="N442" s="10">
        <f t="shared" si="32"/>
        <v>67129.457999999999</v>
      </c>
      <c r="O442" s="10">
        <f t="shared" si="33"/>
        <v>59221.428</v>
      </c>
      <c r="P442" s="9" t="str">
        <f t="shared" si="34"/>
        <v>OK</v>
      </c>
      <c r="Q442" s="9" t="str">
        <f>INDEX(Crops!$B$2:$B$7,MATCH(D442,Crops!$A$2:$A$7,0))</f>
        <v>Maize</v>
      </c>
      <c r="R442" s="9" t="str">
        <f>INDEX(Districts!$B$2:$B$6,MATCH(C442,Districts!$A$2:$A$6,0))</f>
        <v>Tamale Metro</v>
      </c>
    </row>
    <row r="443" spans="1:18">
      <c r="A443" t="s">
        <v>99</v>
      </c>
      <c r="B443" s="4">
        <v>46098</v>
      </c>
      <c r="C443" t="s">
        <v>45</v>
      </c>
      <c r="D443" t="s">
        <v>35</v>
      </c>
      <c r="E443">
        <v>6.6</v>
      </c>
      <c r="F443">
        <v>57548.6</v>
      </c>
      <c r="G443">
        <v>9037.2000000000007</v>
      </c>
      <c r="H443">
        <v>48511.4</v>
      </c>
      <c r="I443" t="s">
        <v>77</v>
      </c>
      <c r="J443">
        <v>6.54</v>
      </c>
      <c r="K443">
        <v>10475.68</v>
      </c>
      <c r="L443">
        <f t="shared" si="30"/>
        <v>8719.484848484848</v>
      </c>
      <c r="M443" s="8">
        <f t="shared" si="31"/>
        <v>0.15703596612254686</v>
      </c>
      <c r="N443" s="10">
        <f t="shared" si="32"/>
        <v>317264.55599999998</v>
      </c>
      <c r="O443" s="10">
        <f t="shared" si="33"/>
        <v>306788.87599999999</v>
      </c>
      <c r="P443" s="9" t="str">
        <f t="shared" si="34"/>
        <v>OK</v>
      </c>
      <c r="Q443" s="9" t="str">
        <f>INDEX(Crops!$B$2:$B$7,MATCH(D443,Crops!$A$2:$A$7,0))</f>
        <v>Tomato</v>
      </c>
      <c r="R443" s="9" t="str">
        <f>INDEX(Districts!$B$2:$B$6,MATCH(C443,Districts!$A$2:$A$6,0))</f>
        <v>Ejura</v>
      </c>
    </row>
    <row r="444" spans="1:18">
      <c r="A444" t="s">
        <v>171</v>
      </c>
      <c r="B444" s="4">
        <v>46163</v>
      </c>
      <c r="C444" t="s">
        <v>47</v>
      </c>
      <c r="D444" t="s">
        <v>35</v>
      </c>
      <c r="E444">
        <v>14.9</v>
      </c>
      <c r="F444">
        <v>106343.3</v>
      </c>
      <c r="G444">
        <v>5127</v>
      </c>
      <c r="H444">
        <v>101216.3</v>
      </c>
      <c r="I444" t="s">
        <v>67</v>
      </c>
      <c r="J444">
        <v>6.27</v>
      </c>
      <c r="K444">
        <v>12403.77</v>
      </c>
      <c r="L444">
        <f t="shared" si="30"/>
        <v>7137.1342281879197</v>
      </c>
      <c r="M444" s="8">
        <f t="shared" si="31"/>
        <v>4.8211782030461718E-2</v>
      </c>
      <c r="N444" s="10">
        <f t="shared" si="32"/>
        <v>634626.201</v>
      </c>
      <c r="O444" s="10">
        <f t="shared" si="33"/>
        <v>622222.43099999998</v>
      </c>
      <c r="P444" s="9" t="str">
        <f t="shared" si="34"/>
        <v>OK</v>
      </c>
      <c r="Q444" s="9" t="str">
        <f>INDEX(Crops!$B$2:$B$7,MATCH(D444,Crops!$A$2:$A$7,0))</f>
        <v>Tomato</v>
      </c>
      <c r="R444" s="9" t="str">
        <f>INDEX(Districts!$B$2:$B$6,MATCH(C444,Districts!$A$2:$A$6,0))</f>
        <v>Techiman</v>
      </c>
    </row>
    <row r="445" spans="1:18">
      <c r="A445" t="s">
        <v>250</v>
      </c>
      <c r="B445" s="4">
        <v>46203</v>
      </c>
      <c r="C445" t="s">
        <v>47</v>
      </c>
      <c r="D445" t="s">
        <v>35</v>
      </c>
      <c r="E445">
        <v>2.6</v>
      </c>
      <c r="F445">
        <v>13737.1</v>
      </c>
      <c r="G445">
        <v>1380.9</v>
      </c>
      <c r="H445">
        <v>12356.2</v>
      </c>
      <c r="I445" t="s">
        <v>67</v>
      </c>
      <c r="J445">
        <v>5.69</v>
      </c>
      <c r="K445">
        <v>2928.52</v>
      </c>
      <c r="L445">
        <f t="shared" si="30"/>
        <v>5283.5</v>
      </c>
      <c r="M445" s="8">
        <f t="shared" si="31"/>
        <v>0.10052340013539976</v>
      </c>
      <c r="N445" s="10">
        <f t="shared" si="32"/>
        <v>70306.778000000006</v>
      </c>
      <c r="O445" s="10">
        <f t="shared" si="33"/>
        <v>67378.258000000002</v>
      </c>
      <c r="P445" s="9" t="str">
        <f t="shared" si="34"/>
        <v>OK</v>
      </c>
      <c r="Q445" s="9" t="str">
        <f>INDEX(Crops!$B$2:$B$7,MATCH(D445,Crops!$A$2:$A$7,0))</f>
        <v>Tomato</v>
      </c>
      <c r="R445" s="9" t="str">
        <f>INDEX(Districts!$B$2:$B$6,MATCH(C445,Districts!$A$2:$A$6,0))</f>
        <v>Techiman</v>
      </c>
    </row>
    <row r="446" spans="1:18">
      <c r="A446" t="s">
        <v>175</v>
      </c>
      <c r="B446" s="4">
        <v>46184</v>
      </c>
      <c r="C446" t="s">
        <v>53</v>
      </c>
      <c r="D446" t="s">
        <v>39</v>
      </c>
      <c r="E446">
        <v>8.4</v>
      </c>
      <c r="F446">
        <v>8537.7000000000007</v>
      </c>
      <c r="G446">
        <v>1297</v>
      </c>
      <c r="H446">
        <v>7240.7</v>
      </c>
      <c r="I446" t="s">
        <v>77</v>
      </c>
      <c r="J446">
        <v>3.97</v>
      </c>
      <c r="K446">
        <v>12197.64</v>
      </c>
      <c r="L446">
        <f t="shared" si="30"/>
        <v>1016.3928571428572</v>
      </c>
      <c r="M446" s="8">
        <f t="shared" si="31"/>
        <v>0.15191445002752496</v>
      </c>
      <c r="N446" s="10">
        <f t="shared" si="32"/>
        <v>28745.579000000002</v>
      </c>
      <c r="O446" s="10">
        <f t="shared" si="33"/>
        <v>16547.939000000002</v>
      </c>
      <c r="P446" s="9" t="str">
        <f t="shared" si="34"/>
        <v>OK</v>
      </c>
      <c r="Q446" s="9" t="str">
        <f>INDEX(Crops!$B$2:$B$7,MATCH(D446,Crops!$A$2:$A$7,0))</f>
        <v>Soybean</v>
      </c>
      <c r="R446" s="9" t="str">
        <f>INDEX(Districts!$B$2:$B$6,MATCH(C446,Districts!$A$2:$A$6,0))</f>
        <v>Hohoe</v>
      </c>
    </row>
    <row r="447" spans="1:18">
      <c r="A447" t="s">
        <v>203</v>
      </c>
      <c r="B447" s="4">
        <v>46153</v>
      </c>
      <c r="C447" t="s">
        <v>51</v>
      </c>
      <c r="D447" t="s">
        <v>41</v>
      </c>
      <c r="E447">
        <v>2.9</v>
      </c>
      <c r="F447">
        <v>12575.6</v>
      </c>
      <c r="G447">
        <v>927.1</v>
      </c>
      <c r="H447">
        <v>11648.5</v>
      </c>
      <c r="I447" t="s">
        <v>77</v>
      </c>
      <c r="J447">
        <v>2.2200000000000002</v>
      </c>
      <c r="K447">
        <v>3597.27</v>
      </c>
      <c r="L447">
        <f t="shared" si="30"/>
        <v>4336.4137931034484</v>
      </c>
      <c r="M447" s="8">
        <f t="shared" si="31"/>
        <v>7.3722128566430234E-2</v>
      </c>
      <c r="N447" s="10">
        <f t="shared" si="32"/>
        <v>25859.670000000002</v>
      </c>
      <c r="O447" s="10">
        <f t="shared" si="33"/>
        <v>22262.400000000001</v>
      </c>
      <c r="P447" s="9" t="str">
        <f t="shared" si="34"/>
        <v>OK</v>
      </c>
      <c r="Q447" s="9" t="str">
        <f>INDEX(Crops!$B$2:$B$7,MATCH(D447,Crops!$A$2:$A$7,0))</f>
        <v>Cassava</v>
      </c>
      <c r="R447" s="9" t="str">
        <f>INDEX(Districts!$B$2:$B$6,MATCH(C447,Districts!$A$2:$A$6,0))</f>
        <v>Kintampo</v>
      </c>
    </row>
    <row r="448" spans="1:18">
      <c r="A448" t="s">
        <v>160</v>
      </c>
      <c r="B448" s="4">
        <v>46000</v>
      </c>
      <c r="C448" t="s">
        <v>49</v>
      </c>
      <c r="D448" t="s">
        <v>31</v>
      </c>
      <c r="E448">
        <v>12.9</v>
      </c>
      <c r="F448">
        <v>16413.599999999999</v>
      </c>
      <c r="G448">
        <v>1733.4</v>
      </c>
      <c r="H448">
        <v>14680.2</v>
      </c>
      <c r="I448" t="s">
        <v>65</v>
      </c>
      <c r="J448">
        <v>3.46</v>
      </c>
      <c r="K448">
        <v>20625.63</v>
      </c>
      <c r="L448">
        <f t="shared" si="30"/>
        <v>1272.3720930232557</v>
      </c>
      <c r="M448" s="8">
        <f t="shared" si="31"/>
        <v>0.10560754496271386</v>
      </c>
      <c r="N448" s="10">
        <f t="shared" si="32"/>
        <v>50793.491999999998</v>
      </c>
      <c r="O448" s="10">
        <f t="shared" si="33"/>
        <v>30167.861999999997</v>
      </c>
      <c r="P448" s="9" t="str">
        <f t="shared" si="34"/>
        <v>OK</v>
      </c>
      <c r="Q448" s="9" t="str">
        <f>INDEX(Crops!$B$2:$B$7,MATCH(D448,Crops!$A$2:$A$7,0))</f>
        <v>Maize</v>
      </c>
      <c r="R448" s="9" t="str">
        <f>INDEX(Districts!$B$2:$B$6,MATCH(C448,Districts!$A$2:$A$6,0))</f>
        <v>Tamale Metro</v>
      </c>
    </row>
    <row r="449" spans="1:18">
      <c r="A449" t="s">
        <v>197</v>
      </c>
      <c r="B449" s="4">
        <v>46111</v>
      </c>
      <c r="C449" t="s">
        <v>51</v>
      </c>
      <c r="D449" t="s">
        <v>41</v>
      </c>
      <c r="E449">
        <v>9.1999999999999993</v>
      </c>
      <c r="F449">
        <v>46670.9</v>
      </c>
      <c r="G449">
        <v>4916.1000000000004</v>
      </c>
      <c r="H449">
        <v>41754.800000000003</v>
      </c>
      <c r="I449" t="s">
        <v>70</v>
      </c>
      <c r="J449">
        <v>2.41</v>
      </c>
      <c r="K449">
        <v>8931.4500000000007</v>
      </c>
      <c r="L449">
        <f t="shared" si="30"/>
        <v>5072.9239130434789</v>
      </c>
      <c r="M449" s="8">
        <f t="shared" si="31"/>
        <v>0.10533544457038541</v>
      </c>
      <c r="N449" s="10">
        <f t="shared" si="32"/>
        <v>100629.06800000001</v>
      </c>
      <c r="O449" s="10">
        <f t="shared" si="33"/>
        <v>91697.618000000017</v>
      </c>
      <c r="P449" s="9" t="str">
        <f t="shared" si="34"/>
        <v>OK</v>
      </c>
      <c r="Q449" s="9" t="str">
        <f>INDEX(Crops!$B$2:$B$7,MATCH(D449,Crops!$A$2:$A$7,0))</f>
        <v>Cassava</v>
      </c>
      <c r="R449" s="9" t="str">
        <f>INDEX(Districts!$B$2:$B$6,MATCH(C449,Districts!$A$2:$A$6,0))</f>
        <v>Kintampo</v>
      </c>
    </row>
    <row r="450" spans="1:18">
      <c r="A450" t="s">
        <v>107</v>
      </c>
      <c r="B450" s="4">
        <v>46082</v>
      </c>
      <c r="C450" t="s">
        <v>47</v>
      </c>
      <c r="D450" t="s">
        <v>37</v>
      </c>
      <c r="E450">
        <v>5.8</v>
      </c>
      <c r="F450">
        <v>22486</v>
      </c>
      <c r="G450">
        <v>2859.1</v>
      </c>
      <c r="H450">
        <v>19626.900000000001</v>
      </c>
      <c r="I450" t="s">
        <v>67</v>
      </c>
      <c r="J450">
        <v>7.91</v>
      </c>
      <c r="K450">
        <v>6605.17</v>
      </c>
      <c r="L450">
        <f t="shared" ref="L450:L501" si="35">F450/E450</f>
        <v>3876.8965517241381</v>
      </c>
      <c r="M450" s="8">
        <f t="shared" ref="M450:M501" si="36">G450/F450</f>
        <v>0.12715022680779151</v>
      </c>
      <c r="N450" s="10">
        <f t="shared" ref="N450:N501" si="37">H450*J450</f>
        <v>155248.77900000001</v>
      </c>
      <c r="O450" s="10">
        <f t="shared" ref="O450:O513" si="38">N450-K450</f>
        <v>148643.609</v>
      </c>
      <c r="P450" s="9" t="str">
        <f t="shared" ref="P450:P501" si="39">IF(H450+G450&gt;F450,"CHECK: Sold+Loss &gt; Harvest","OK")</f>
        <v>OK</v>
      </c>
      <c r="Q450" s="9" t="str">
        <f>INDEX(Crops!$B$2:$B$7,MATCH(D450,Crops!$A$2:$A$7,0))</f>
        <v>Pepper</v>
      </c>
      <c r="R450" s="9" t="str">
        <f>INDEX(Districts!$B$2:$B$6,MATCH(C450,Districts!$A$2:$A$6,0))</f>
        <v>Techiman</v>
      </c>
    </row>
    <row r="451" spans="1:18">
      <c r="A451" t="s">
        <v>246</v>
      </c>
      <c r="B451" s="4">
        <v>46178</v>
      </c>
      <c r="C451" t="s">
        <v>49</v>
      </c>
      <c r="D451" t="s">
        <v>41</v>
      </c>
      <c r="E451">
        <v>14.8</v>
      </c>
      <c r="F451">
        <v>114185.8</v>
      </c>
      <c r="G451">
        <v>7827.9</v>
      </c>
      <c r="H451">
        <v>106357.9</v>
      </c>
      <c r="I451" t="s">
        <v>77</v>
      </c>
      <c r="J451">
        <v>2.2799999999999998</v>
      </c>
      <c r="K451">
        <v>21019.18</v>
      </c>
      <c r="L451">
        <f t="shared" si="35"/>
        <v>7715.2567567567567</v>
      </c>
      <c r="M451" s="8">
        <f t="shared" si="36"/>
        <v>6.8554058385543556E-2</v>
      </c>
      <c r="N451" s="10">
        <f t="shared" si="37"/>
        <v>242496.01199999996</v>
      </c>
      <c r="O451" s="10">
        <f t="shared" si="38"/>
        <v>221476.83199999997</v>
      </c>
      <c r="P451" s="9" t="str">
        <f t="shared" si="39"/>
        <v>OK</v>
      </c>
      <c r="Q451" s="9" t="str">
        <f>INDEX(Crops!$B$2:$B$7,MATCH(D451,Crops!$A$2:$A$7,0))</f>
        <v>Cassava</v>
      </c>
      <c r="R451" s="9" t="str">
        <f>INDEX(Districts!$B$2:$B$6,MATCH(C451,Districts!$A$2:$A$6,0))</f>
        <v>Tamale Metro</v>
      </c>
    </row>
    <row r="452" spans="1:18">
      <c r="A452" t="s">
        <v>180</v>
      </c>
      <c r="B452" s="4">
        <v>45911</v>
      </c>
      <c r="C452" t="s">
        <v>49</v>
      </c>
      <c r="D452" t="s">
        <v>37</v>
      </c>
      <c r="E452">
        <v>7.9</v>
      </c>
      <c r="F452">
        <v>44592.7</v>
      </c>
      <c r="G452">
        <v>3186.5</v>
      </c>
      <c r="H452">
        <v>41406.199999999997</v>
      </c>
      <c r="I452" t="s">
        <v>77</v>
      </c>
      <c r="J452">
        <v>7.75</v>
      </c>
      <c r="K452">
        <v>6399.82</v>
      </c>
      <c r="L452">
        <f t="shared" si="35"/>
        <v>5644.6455696202529</v>
      </c>
      <c r="M452" s="8">
        <f t="shared" si="36"/>
        <v>7.1457884362238669E-2</v>
      </c>
      <c r="N452" s="10">
        <f t="shared" si="37"/>
        <v>320898.05</v>
      </c>
      <c r="O452" s="10">
        <f t="shared" si="38"/>
        <v>314498.23</v>
      </c>
      <c r="P452" s="9" t="str">
        <f t="shared" si="39"/>
        <v>OK</v>
      </c>
      <c r="Q452" s="9" t="str">
        <f>INDEX(Crops!$B$2:$B$7,MATCH(D452,Crops!$A$2:$A$7,0))</f>
        <v>Pepper</v>
      </c>
      <c r="R452" s="9" t="str">
        <f>INDEX(Districts!$B$2:$B$6,MATCH(C452,Districts!$A$2:$A$6,0))</f>
        <v>Tamale Metro</v>
      </c>
    </row>
    <row r="453" spans="1:18">
      <c r="A453" t="s">
        <v>213</v>
      </c>
      <c r="B453" s="4">
        <v>45865</v>
      </c>
      <c r="C453" t="s">
        <v>49</v>
      </c>
      <c r="D453" t="s">
        <v>35</v>
      </c>
      <c r="E453">
        <v>3.1</v>
      </c>
      <c r="F453">
        <v>19429.8</v>
      </c>
      <c r="G453">
        <v>2963.4</v>
      </c>
      <c r="H453">
        <v>16466.400000000001</v>
      </c>
      <c r="I453" t="s">
        <v>70</v>
      </c>
      <c r="J453">
        <v>7.17</v>
      </c>
      <c r="K453">
        <v>4481.57</v>
      </c>
      <c r="L453">
        <f t="shared" si="35"/>
        <v>6267.6774193548381</v>
      </c>
      <c r="M453" s="8">
        <f t="shared" si="36"/>
        <v>0.15251829663712443</v>
      </c>
      <c r="N453" s="10">
        <f t="shared" si="37"/>
        <v>118064.088</v>
      </c>
      <c r="O453" s="10">
        <f t="shared" si="38"/>
        <v>113582.51800000001</v>
      </c>
      <c r="P453" s="9" t="str">
        <f t="shared" si="39"/>
        <v>OK</v>
      </c>
      <c r="Q453" s="9" t="str">
        <f>INDEX(Crops!$B$2:$B$7,MATCH(D453,Crops!$A$2:$A$7,0))</f>
        <v>Tomato</v>
      </c>
      <c r="R453" s="9" t="str">
        <f>INDEX(Districts!$B$2:$B$6,MATCH(C453,Districts!$A$2:$A$6,0))</f>
        <v>Tamale Metro</v>
      </c>
    </row>
    <row r="454" spans="1:18">
      <c r="A454" t="s">
        <v>251</v>
      </c>
      <c r="B454" s="4">
        <v>46003</v>
      </c>
      <c r="C454" t="s">
        <v>53</v>
      </c>
      <c r="D454" t="s">
        <v>31</v>
      </c>
      <c r="E454">
        <v>7.2</v>
      </c>
      <c r="F454">
        <v>15841</v>
      </c>
      <c r="G454">
        <v>1925.3</v>
      </c>
      <c r="H454">
        <v>13915.7</v>
      </c>
      <c r="I454" t="s">
        <v>65</v>
      </c>
      <c r="J454">
        <v>2.73</v>
      </c>
      <c r="K454">
        <v>10544.01</v>
      </c>
      <c r="L454">
        <f t="shared" si="35"/>
        <v>2200.1388888888887</v>
      </c>
      <c r="M454" s="8">
        <f t="shared" si="36"/>
        <v>0.1215390442522568</v>
      </c>
      <c r="N454" s="10">
        <f t="shared" si="37"/>
        <v>37989.861000000004</v>
      </c>
      <c r="O454" s="10">
        <f t="shared" si="38"/>
        <v>27445.851000000002</v>
      </c>
      <c r="P454" s="9" t="str">
        <f t="shared" si="39"/>
        <v>OK</v>
      </c>
      <c r="Q454" s="9" t="str">
        <f>INDEX(Crops!$B$2:$B$7,MATCH(D454,Crops!$A$2:$A$7,0))</f>
        <v>Maize</v>
      </c>
      <c r="R454" s="9" t="str">
        <f>INDEX(Districts!$B$2:$B$6,MATCH(C454,Districts!$A$2:$A$6,0))</f>
        <v>Hohoe</v>
      </c>
    </row>
    <row r="455" spans="1:18">
      <c r="A455" t="s">
        <v>214</v>
      </c>
      <c r="B455" s="4">
        <v>45911</v>
      </c>
      <c r="C455" t="s">
        <v>47</v>
      </c>
      <c r="D455" t="s">
        <v>39</v>
      </c>
      <c r="E455">
        <v>9.3000000000000007</v>
      </c>
      <c r="F455">
        <v>16909.7</v>
      </c>
      <c r="G455">
        <v>1140.2</v>
      </c>
      <c r="H455">
        <v>15769.5</v>
      </c>
      <c r="I455" t="s">
        <v>67</v>
      </c>
      <c r="J455">
        <v>4.32</v>
      </c>
      <c r="K455">
        <v>9720.18</v>
      </c>
      <c r="L455">
        <f t="shared" si="35"/>
        <v>1818.247311827957</v>
      </c>
      <c r="M455" s="8">
        <f t="shared" si="36"/>
        <v>6.7428753910477424E-2</v>
      </c>
      <c r="N455" s="10">
        <f t="shared" si="37"/>
        <v>68124.240000000005</v>
      </c>
      <c r="O455" s="10">
        <f t="shared" si="38"/>
        <v>58404.060000000005</v>
      </c>
      <c r="P455" s="9" t="str">
        <f t="shared" si="39"/>
        <v>OK</v>
      </c>
      <c r="Q455" s="9" t="str">
        <f>INDEX(Crops!$B$2:$B$7,MATCH(D455,Crops!$A$2:$A$7,0))</f>
        <v>Soybean</v>
      </c>
      <c r="R455" s="9" t="str">
        <f>INDEX(Districts!$B$2:$B$6,MATCH(C455,Districts!$A$2:$A$6,0))</f>
        <v>Techiman</v>
      </c>
    </row>
    <row r="456" spans="1:18">
      <c r="A456" t="s">
        <v>85</v>
      </c>
      <c r="B456" s="4">
        <v>45927</v>
      </c>
      <c r="C456" t="s">
        <v>51</v>
      </c>
      <c r="D456" t="s">
        <v>39</v>
      </c>
      <c r="E456">
        <v>13.4</v>
      </c>
      <c r="F456">
        <v>17695</v>
      </c>
      <c r="G456">
        <v>1669.3</v>
      </c>
      <c r="H456">
        <v>16025.7</v>
      </c>
      <c r="I456" t="s">
        <v>67</v>
      </c>
      <c r="J456">
        <v>4.41</v>
      </c>
      <c r="K456">
        <v>15247.51</v>
      </c>
      <c r="L456">
        <f t="shared" si="35"/>
        <v>1320.5223880597014</v>
      </c>
      <c r="M456" s="8">
        <f t="shared" si="36"/>
        <v>9.4337383441650186E-2</v>
      </c>
      <c r="N456" s="10">
        <f t="shared" si="37"/>
        <v>70673.337</v>
      </c>
      <c r="O456" s="10">
        <f t="shared" si="38"/>
        <v>55425.826999999997</v>
      </c>
      <c r="P456" s="9" t="str">
        <f t="shared" si="39"/>
        <v>OK</v>
      </c>
      <c r="Q456" s="9" t="str">
        <f>INDEX(Crops!$B$2:$B$7,MATCH(D456,Crops!$A$2:$A$7,0))</f>
        <v>Soybean</v>
      </c>
      <c r="R456" s="9" t="str">
        <f>INDEX(Districts!$B$2:$B$6,MATCH(C456,Districts!$A$2:$A$6,0))</f>
        <v>Kintampo</v>
      </c>
    </row>
    <row r="457" spans="1:18">
      <c r="A457" t="s">
        <v>98</v>
      </c>
      <c r="B457" s="4">
        <v>45960</v>
      </c>
      <c r="C457" t="s">
        <v>53</v>
      </c>
      <c r="D457" t="s">
        <v>37</v>
      </c>
      <c r="E457">
        <v>6.6</v>
      </c>
      <c r="F457">
        <v>30945.9</v>
      </c>
      <c r="G457">
        <v>4568.8999999999996</v>
      </c>
      <c r="H457">
        <v>26377</v>
      </c>
      <c r="I457" t="s">
        <v>70</v>
      </c>
      <c r="J457">
        <v>8.3800000000000008</v>
      </c>
      <c r="K457">
        <v>5662.07</v>
      </c>
      <c r="L457">
        <f t="shared" si="35"/>
        <v>4688.7727272727279</v>
      </c>
      <c r="M457" s="8">
        <f t="shared" si="36"/>
        <v>0.14764152924943205</v>
      </c>
      <c r="N457" s="10">
        <f t="shared" si="37"/>
        <v>221039.26</v>
      </c>
      <c r="O457" s="10">
        <f t="shared" si="38"/>
        <v>215377.19</v>
      </c>
      <c r="P457" s="9" t="str">
        <f t="shared" si="39"/>
        <v>OK</v>
      </c>
      <c r="Q457" s="9" t="str">
        <f>INDEX(Crops!$B$2:$B$7,MATCH(D457,Crops!$A$2:$A$7,0))</f>
        <v>Pepper</v>
      </c>
      <c r="R457" s="9" t="str">
        <f>INDEX(Districts!$B$2:$B$6,MATCH(C457,Districts!$A$2:$A$6,0))</f>
        <v>Hohoe</v>
      </c>
    </row>
    <row r="458" spans="1:18">
      <c r="A458" t="s">
        <v>184</v>
      </c>
      <c r="B458" s="4">
        <v>46113</v>
      </c>
      <c r="C458" t="s">
        <v>49</v>
      </c>
      <c r="D458" t="s">
        <v>35</v>
      </c>
      <c r="E458">
        <v>14.6</v>
      </c>
      <c r="F458">
        <v>98681</v>
      </c>
      <c r="G458">
        <v>12629.8</v>
      </c>
      <c r="H458">
        <v>86051.199999999997</v>
      </c>
      <c r="I458" t="s">
        <v>67</v>
      </c>
      <c r="J458">
        <v>5.64</v>
      </c>
      <c r="K458">
        <v>23556.63</v>
      </c>
      <c r="L458">
        <f t="shared" si="35"/>
        <v>6758.9726027397264</v>
      </c>
      <c r="M458" s="8">
        <f t="shared" si="36"/>
        <v>0.12798613714899523</v>
      </c>
      <c r="N458" s="10">
        <f t="shared" si="37"/>
        <v>485328.76799999998</v>
      </c>
      <c r="O458" s="10">
        <f t="shared" si="38"/>
        <v>461772.13799999998</v>
      </c>
      <c r="P458" s="9" t="str">
        <f t="shared" si="39"/>
        <v>OK</v>
      </c>
      <c r="Q458" s="9" t="str">
        <f>INDEX(Crops!$B$2:$B$7,MATCH(D458,Crops!$A$2:$A$7,0))</f>
        <v>Tomato</v>
      </c>
      <c r="R458" s="9" t="str">
        <f>INDEX(Districts!$B$2:$B$6,MATCH(C458,Districts!$A$2:$A$6,0))</f>
        <v>Tamale Metro</v>
      </c>
    </row>
    <row r="459" spans="1:18">
      <c r="A459" t="s">
        <v>183</v>
      </c>
      <c r="B459" s="4">
        <v>45865</v>
      </c>
      <c r="C459" t="s">
        <v>45</v>
      </c>
      <c r="D459" t="s">
        <v>41</v>
      </c>
      <c r="E459">
        <v>2.2000000000000002</v>
      </c>
      <c r="F459">
        <v>9872.1</v>
      </c>
      <c r="G459">
        <v>1092.8</v>
      </c>
      <c r="H459">
        <v>8779.2999999999993</v>
      </c>
      <c r="I459" t="s">
        <v>77</v>
      </c>
      <c r="J459">
        <v>2.4900000000000002</v>
      </c>
      <c r="K459">
        <v>1748.75</v>
      </c>
      <c r="L459">
        <f t="shared" si="35"/>
        <v>4487.318181818182</v>
      </c>
      <c r="M459" s="8">
        <f t="shared" si="36"/>
        <v>0.11069579927269779</v>
      </c>
      <c r="N459" s="10">
        <f t="shared" si="37"/>
        <v>21860.456999999999</v>
      </c>
      <c r="O459" s="10">
        <f t="shared" si="38"/>
        <v>20111.706999999999</v>
      </c>
      <c r="P459" s="9" t="str">
        <f t="shared" si="39"/>
        <v>OK</v>
      </c>
      <c r="Q459" s="9" t="str">
        <f>INDEX(Crops!$B$2:$B$7,MATCH(D459,Crops!$A$2:$A$7,0))</f>
        <v>Cassava</v>
      </c>
      <c r="R459" s="9" t="str">
        <f>INDEX(Districts!$B$2:$B$6,MATCH(C459,Districts!$A$2:$A$6,0))</f>
        <v>Ejura</v>
      </c>
    </row>
    <row r="460" spans="1:18">
      <c r="A460" t="s">
        <v>230</v>
      </c>
      <c r="B460" s="4">
        <v>46024</v>
      </c>
      <c r="C460" t="s">
        <v>53</v>
      </c>
      <c r="D460" t="s">
        <v>37</v>
      </c>
      <c r="E460">
        <v>10.5</v>
      </c>
      <c r="F460">
        <v>51274.6</v>
      </c>
      <c r="G460">
        <v>2598.3000000000002</v>
      </c>
      <c r="H460">
        <v>48676.3</v>
      </c>
      <c r="I460" t="s">
        <v>67</v>
      </c>
      <c r="J460">
        <v>9.7799999999999994</v>
      </c>
      <c r="K460">
        <v>12766.05</v>
      </c>
      <c r="L460">
        <f t="shared" si="35"/>
        <v>4883.2952380952383</v>
      </c>
      <c r="M460" s="8">
        <f t="shared" si="36"/>
        <v>5.0674212963143547E-2</v>
      </c>
      <c r="N460" s="10">
        <f t="shared" si="37"/>
        <v>476054.21399999998</v>
      </c>
      <c r="O460" s="10">
        <f t="shared" si="38"/>
        <v>463288.16399999999</v>
      </c>
      <c r="P460" s="9" t="str">
        <f t="shared" si="39"/>
        <v>OK</v>
      </c>
      <c r="Q460" s="9" t="str">
        <f>INDEX(Crops!$B$2:$B$7,MATCH(D460,Crops!$A$2:$A$7,0))</f>
        <v>Pepper</v>
      </c>
      <c r="R460" s="9" t="str">
        <f>INDEX(Districts!$B$2:$B$6,MATCH(C460,Districts!$A$2:$A$6,0))</f>
        <v>Hohoe</v>
      </c>
    </row>
    <row r="461" spans="1:18">
      <c r="A461" t="s">
        <v>137</v>
      </c>
      <c r="B461" s="4">
        <v>45969</v>
      </c>
      <c r="C461" t="s">
        <v>49</v>
      </c>
      <c r="D461" t="s">
        <v>35</v>
      </c>
      <c r="E461">
        <v>10.1</v>
      </c>
      <c r="F461">
        <v>81210.100000000006</v>
      </c>
      <c r="G461">
        <v>6327.6</v>
      </c>
      <c r="H461">
        <v>74882.5</v>
      </c>
      <c r="I461" t="s">
        <v>67</v>
      </c>
      <c r="J461">
        <v>7.77</v>
      </c>
      <c r="K461">
        <v>7596.41</v>
      </c>
      <c r="L461">
        <f t="shared" si="35"/>
        <v>8040.6039603960407</v>
      </c>
      <c r="M461" s="8">
        <f t="shared" si="36"/>
        <v>7.7916416800373353E-2</v>
      </c>
      <c r="N461" s="10">
        <f t="shared" si="37"/>
        <v>581837.02500000002</v>
      </c>
      <c r="O461" s="10">
        <f t="shared" si="38"/>
        <v>574240.61499999999</v>
      </c>
      <c r="P461" s="9" t="str">
        <f t="shared" si="39"/>
        <v>OK</v>
      </c>
      <c r="Q461" s="9" t="str">
        <f>INDEX(Crops!$B$2:$B$7,MATCH(D461,Crops!$A$2:$A$7,0))</f>
        <v>Tomato</v>
      </c>
      <c r="R461" s="9" t="str">
        <f>INDEX(Districts!$B$2:$B$6,MATCH(C461,Districts!$A$2:$A$6,0))</f>
        <v>Tamale Metro</v>
      </c>
    </row>
    <row r="462" spans="1:18">
      <c r="A462" t="s">
        <v>233</v>
      </c>
      <c r="B462" s="4">
        <v>46104</v>
      </c>
      <c r="C462" t="s">
        <v>45</v>
      </c>
      <c r="D462" t="s">
        <v>41</v>
      </c>
      <c r="E462">
        <v>1.3</v>
      </c>
      <c r="F462">
        <v>8567.5</v>
      </c>
      <c r="G462">
        <v>1046</v>
      </c>
      <c r="H462">
        <v>7521.5</v>
      </c>
      <c r="I462" t="s">
        <v>70</v>
      </c>
      <c r="J462">
        <v>2.31</v>
      </c>
      <c r="K462">
        <v>1580.94</v>
      </c>
      <c r="L462">
        <f t="shared" si="35"/>
        <v>6590.3846153846152</v>
      </c>
      <c r="M462" s="8">
        <f t="shared" si="36"/>
        <v>0.1220892909250073</v>
      </c>
      <c r="N462" s="10">
        <f t="shared" si="37"/>
        <v>17374.665000000001</v>
      </c>
      <c r="O462" s="10">
        <f t="shared" si="38"/>
        <v>15793.725</v>
      </c>
      <c r="P462" s="9" t="str">
        <f t="shared" si="39"/>
        <v>OK</v>
      </c>
      <c r="Q462" s="9" t="str">
        <f>INDEX(Crops!$B$2:$B$7,MATCH(D462,Crops!$A$2:$A$7,0))</f>
        <v>Cassava</v>
      </c>
      <c r="R462" s="9" t="str">
        <f>INDEX(Districts!$B$2:$B$6,MATCH(C462,Districts!$A$2:$A$6,0))</f>
        <v>Ejura</v>
      </c>
    </row>
    <row r="463" spans="1:18">
      <c r="A463" t="s">
        <v>224</v>
      </c>
      <c r="B463" s="4">
        <v>46185</v>
      </c>
      <c r="C463" t="s">
        <v>49</v>
      </c>
      <c r="D463" t="s">
        <v>41</v>
      </c>
      <c r="E463">
        <v>2.2000000000000002</v>
      </c>
      <c r="F463">
        <v>10450.799999999999</v>
      </c>
      <c r="G463">
        <v>1129.4000000000001</v>
      </c>
      <c r="H463">
        <v>9321.4</v>
      </c>
      <c r="I463" t="s">
        <v>70</v>
      </c>
      <c r="J463">
        <v>2.27</v>
      </c>
      <c r="K463">
        <v>1688.01</v>
      </c>
      <c r="L463">
        <f t="shared" si="35"/>
        <v>4750.363636363636</v>
      </c>
      <c r="M463" s="8">
        <f t="shared" si="36"/>
        <v>0.10806828185402076</v>
      </c>
      <c r="N463" s="10">
        <f t="shared" si="37"/>
        <v>21159.577999999998</v>
      </c>
      <c r="O463" s="10">
        <f t="shared" si="38"/>
        <v>19471.567999999999</v>
      </c>
      <c r="P463" s="9" t="str">
        <f t="shared" si="39"/>
        <v>OK</v>
      </c>
      <c r="Q463" s="9" t="str">
        <f>INDEX(Crops!$B$2:$B$7,MATCH(D463,Crops!$A$2:$A$7,0))</f>
        <v>Cassava</v>
      </c>
      <c r="R463" s="9" t="str">
        <f>INDEX(Districts!$B$2:$B$6,MATCH(C463,Districts!$A$2:$A$6,0))</f>
        <v>Tamale Metro</v>
      </c>
    </row>
    <row r="464" spans="1:18">
      <c r="A464" t="s">
        <v>136</v>
      </c>
      <c r="B464" s="4">
        <v>46119</v>
      </c>
      <c r="C464" t="s">
        <v>45</v>
      </c>
      <c r="D464" t="s">
        <v>37</v>
      </c>
      <c r="E464">
        <v>2</v>
      </c>
      <c r="F464">
        <v>7935.4</v>
      </c>
      <c r="G464">
        <v>1149</v>
      </c>
      <c r="H464">
        <v>6786.4</v>
      </c>
      <c r="I464" t="s">
        <v>77</v>
      </c>
      <c r="J464">
        <v>9.6199999999999992</v>
      </c>
      <c r="K464">
        <v>1799.74</v>
      </c>
      <c r="L464">
        <f t="shared" si="35"/>
        <v>3967.7</v>
      </c>
      <c r="M464" s="8">
        <f t="shared" si="36"/>
        <v>0.14479421327217279</v>
      </c>
      <c r="N464" s="10">
        <f t="shared" si="37"/>
        <v>65285.167999999991</v>
      </c>
      <c r="O464" s="10">
        <f t="shared" si="38"/>
        <v>63485.427999999993</v>
      </c>
      <c r="P464" s="9" t="str">
        <f t="shared" si="39"/>
        <v>OK</v>
      </c>
      <c r="Q464" s="9" t="str">
        <f>INDEX(Crops!$B$2:$B$7,MATCH(D464,Crops!$A$2:$A$7,0))</f>
        <v>Pepper</v>
      </c>
      <c r="R464" s="9" t="str">
        <f>INDEX(Districts!$B$2:$B$6,MATCH(C464,Districts!$A$2:$A$6,0))</f>
        <v>Ejura</v>
      </c>
    </row>
    <row r="465" spans="1:18">
      <c r="A465" t="s">
        <v>160</v>
      </c>
      <c r="B465" s="4">
        <v>46011</v>
      </c>
      <c r="C465" t="s">
        <v>49</v>
      </c>
      <c r="D465" t="s">
        <v>41</v>
      </c>
      <c r="E465">
        <v>8.8000000000000007</v>
      </c>
      <c r="F465">
        <v>47823.8</v>
      </c>
      <c r="G465">
        <v>3709.4</v>
      </c>
      <c r="H465">
        <v>44114.400000000001</v>
      </c>
      <c r="I465" t="s">
        <v>67</v>
      </c>
      <c r="J465">
        <v>2.56</v>
      </c>
      <c r="K465">
        <v>6803.75</v>
      </c>
      <c r="L465">
        <f t="shared" si="35"/>
        <v>5434.522727272727</v>
      </c>
      <c r="M465" s="8">
        <f t="shared" si="36"/>
        <v>7.7563890782413769E-2</v>
      </c>
      <c r="N465" s="10">
        <f t="shared" si="37"/>
        <v>112932.864</v>
      </c>
      <c r="O465" s="10">
        <f t="shared" si="38"/>
        <v>106129.114</v>
      </c>
      <c r="P465" s="9" t="str">
        <f t="shared" si="39"/>
        <v>OK</v>
      </c>
      <c r="Q465" s="9" t="str">
        <f>INDEX(Crops!$B$2:$B$7,MATCH(D465,Crops!$A$2:$A$7,0))</f>
        <v>Cassava</v>
      </c>
      <c r="R465" s="9" t="str">
        <f>INDEX(Districts!$B$2:$B$6,MATCH(C465,Districts!$A$2:$A$6,0))</f>
        <v>Tamale Metro</v>
      </c>
    </row>
    <row r="466" spans="1:18">
      <c r="A466" t="s">
        <v>190</v>
      </c>
      <c r="B466" s="4">
        <v>45951</v>
      </c>
      <c r="C466" t="s">
        <v>49</v>
      </c>
      <c r="D466" t="s">
        <v>39</v>
      </c>
      <c r="E466">
        <v>2.5</v>
      </c>
      <c r="F466">
        <v>4866.8</v>
      </c>
      <c r="G466">
        <v>727.4</v>
      </c>
      <c r="H466">
        <v>4139.3999999999996</v>
      </c>
      <c r="I466" t="s">
        <v>67</v>
      </c>
      <c r="J466">
        <v>4.8499999999999996</v>
      </c>
      <c r="K466">
        <v>3919.14</v>
      </c>
      <c r="L466">
        <f t="shared" si="35"/>
        <v>1946.72</v>
      </c>
      <c r="M466" s="8">
        <f t="shared" si="36"/>
        <v>0.14946165858469629</v>
      </c>
      <c r="N466" s="10">
        <f t="shared" si="37"/>
        <v>20076.089999999997</v>
      </c>
      <c r="O466" s="10">
        <f t="shared" si="38"/>
        <v>16156.949999999997</v>
      </c>
      <c r="P466" s="9" t="str">
        <f t="shared" si="39"/>
        <v>OK</v>
      </c>
      <c r="Q466" s="9" t="str">
        <f>INDEX(Crops!$B$2:$B$7,MATCH(D466,Crops!$A$2:$A$7,0))</f>
        <v>Soybean</v>
      </c>
      <c r="R466" s="9" t="str">
        <f>INDEX(Districts!$B$2:$B$6,MATCH(C466,Districts!$A$2:$A$6,0))</f>
        <v>Tamale Metro</v>
      </c>
    </row>
    <row r="467" spans="1:18">
      <c r="A467" t="s">
        <v>148</v>
      </c>
      <c r="B467" s="4">
        <v>46188</v>
      </c>
      <c r="C467" t="s">
        <v>45</v>
      </c>
      <c r="D467" t="s">
        <v>35</v>
      </c>
      <c r="E467">
        <v>5.9</v>
      </c>
      <c r="F467">
        <v>46094.1</v>
      </c>
      <c r="G467">
        <v>4577.3999999999996</v>
      </c>
      <c r="H467">
        <v>41516.699999999997</v>
      </c>
      <c r="I467" t="s">
        <v>70</v>
      </c>
      <c r="J467">
        <v>6.88</v>
      </c>
      <c r="K467">
        <v>7213.9</v>
      </c>
      <c r="L467">
        <f t="shared" si="35"/>
        <v>7812.5593220338978</v>
      </c>
      <c r="M467" s="8">
        <f t="shared" si="36"/>
        <v>9.9305551035815856E-2</v>
      </c>
      <c r="N467" s="10">
        <f t="shared" si="37"/>
        <v>285634.89599999995</v>
      </c>
      <c r="O467" s="10">
        <f t="shared" si="38"/>
        <v>278420.99599999993</v>
      </c>
      <c r="P467" s="9" t="str">
        <f t="shared" si="39"/>
        <v>OK</v>
      </c>
      <c r="Q467" s="9" t="str">
        <f>INDEX(Crops!$B$2:$B$7,MATCH(D467,Crops!$A$2:$A$7,0))</f>
        <v>Tomato</v>
      </c>
      <c r="R467" s="9" t="str">
        <f>INDEX(Districts!$B$2:$B$6,MATCH(C467,Districts!$A$2:$A$6,0))</f>
        <v>Ejura</v>
      </c>
    </row>
    <row r="468" spans="1:18">
      <c r="A468" t="s">
        <v>69</v>
      </c>
      <c r="B468" s="4">
        <v>45866</v>
      </c>
      <c r="C468" t="s">
        <v>45</v>
      </c>
      <c r="D468" t="s">
        <v>35</v>
      </c>
      <c r="E468">
        <v>12.4</v>
      </c>
      <c r="F468">
        <v>122739</v>
      </c>
      <c r="G468">
        <v>16046.5</v>
      </c>
      <c r="H468">
        <v>106692.5</v>
      </c>
      <c r="I468" t="s">
        <v>77</v>
      </c>
      <c r="J468">
        <v>6.01</v>
      </c>
      <c r="K468">
        <v>10716.54</v>
      </c>
      <c r="L468">
        <f t="shared" si="35"/>
        <v>9898.3064516129034</v>
      </c>
      <c r="M468" s="8">
        <f t="shared" si="36"/>
        <v>0.13073676663489192</v>
      </c>
      <c r="N468" s="10">
        <f t="shared" si="37"/>
        <v>641221.92499999993</v>
      </c>
      <c r="O468" s="10">
        <f t="shared" si="38"/>
        <v>630505.38499999989</v>
      </c>
      <c r="P468" s="9" t="str">
        <f t="shared" si="39"/>
        <v>OK</v>
      </c>
      <c r="Q468" s="9" t="str">
        <f>INDEX(Crops!$B$2:$B$7,MATCH(D468,Crops!$A$2:$A$7,0))</f>
        <v>Tomato</v>
      </c>
      <c r="R468" s="9" t="str">
        <f>INDEX(Districts!$B$2:$B$6,MATCH(C468,Districts!$A$2:$A$6,0))</f>
        <v>Ejura</v>
      </c>
    </row>
    <row r="469" spans="1:18">
      <c r="A469" t="s">
        <v>249</v>
      </c>
      <c r="B469" s="4">
        <v>46082</v>
      </c>
      <c r="C469" t="s">
        <v>53</v>
      </c>
      <c r="D469" t="s">
        <v>41</v>
      </c>
      <c r="E469">
        <v>3.1</v>
      </c>
      <c r="F469">
        <v>17188.3</v>
      </c>
      <c r="G469">
        <v>2397.1999999999998</v>
      </c>
      <c r="H469">
        <v>14791.1</v>
      </c>
      <c r="I469" t="s">
        <v>77</v>
      </c>
      <c r="J469">
        <v>2.29</v>
      </c>
      <c r="K469">
        <v>2290.7600000000002</v>
      </c>
      <c r="L469">
        <f t="shared" si="35"/>
        <v>5544.6129032258059</v>
      </c>
      <c r="M469" s="8">
        <f t="shared" si="36"/>
        <v>0.13946696299226799</v>
      </c>
      <c r="N469" s="10">
        <f t="shared" si="37"/>
        <v>33871.618999999999</v>
      </c>
      <c r="O469" s="10">
        <f t="shared" si="38"/>
        <v>31580.858999999997</v>
      </c>
      <c r="P469" s="9" t="str">
        <f t="shared" si="39"/>
        <v>OK</v>
      </c>
      <c r="Q469" s="9" t="str">
        <f>INDEX(Crops!$B$2:$B$7,MATCH(D469,Crops!$A$2:$A$7,0))</f>
        <v>Cassava</v>
      </c>
      <c r="R469" s="9" t="str">
        <f>INDEX(Districts!$B$2:$B$6,MATCH(C469,Districts!$A$2:$A$6,0))</f>
        <v>Hohoe</v>
      </c>
    </row>
    <row r="470" spans="1:18">
      <c r="A470" t="s">
        <v>154</v>
      </c>
      <c r="B470" s="4">
        <v>45905</v>
      </c>
      <c r="C470" t="s">
        <v>45</v>
      </c>
      <c r="D470" t="s">
        <v>41</v>
      </c>
      <c r="E470">
        <v>2.5</v>
      </c>
      <c r="F470">
        <v>18137</v>
      </c>
      <c r="G470">
        <v>1606.1</v>
      </c>
      <c r="H470">
        <v>16530.900000000001</v>
      </c>
      <c r="I470" t="s">
        <v>65</v>
      </c>
      <c r="J470">
        <v>2.77</v>
      </c>
      <c r="K470">
        <v>4402.42</v>
      </c>
      <c r="L470">
        <f t="shared" si="35"/>
        <v>7254.8</v>
      </c>
      <c r="M470" s="8">
        <f t="shared" si="36"/>
        <v>8.8553785080222741E-2</v>
      </c>
      <c r="N470" s="10">
        <f t="shared" si="37"/>
        <v>45790.593000000001</v>
      </c>
      <c r="O470" s="10">
        <f t="shared" si="38"/>
        <v>41388.173000000003</v>
      </c>
      <c r="P470" s="9" t="str">
        <f t="shared" si="39"/>
        <v>OK</v>
      </c>
      <c r="Q470" s="9" t="str">
        <f>INDEX(Crops!$B$2:$B$7,MATCH(D470,Crops!$A$2:$A$7,0))</f>
        <v>Cassava</v>
      </c>
      <c r="R470" s="9" t="str">
        <f>INDEX(Districts!$B$2:$B$6,MATCH(C470,Districts!$A$2:$A$6,0))</f>
        <v>Ejura</v>
      </c>
    </row>
    <row r="471" spans="1:18">
      <c r="A471" t="s">
        <v>66</v>
      </c>
      <c r="B471" s="4">
        <v>45944</v>
      </c>
      <c r="C471" t="s">
        <v>51</v>
      </c>
      <c r="D471" t="s">
        <v>37</v>
      </c>
      <c r="E471">
        <v>14</v>
      </c>
      <c r="F471">
        <v>61636.800000000003</v>
      </c>
      <c r="G471">
        <v>4327.5</v>
      </c>
      <c r="H471">
        <v>57309.3</v>
      </c>
      <c r="I471" t="s">
        <v>65</v>
      </c>
      <c r="J471">
        <v>8.16</v>
      </c>
      <c r="K471">
        <v>11784.09</v>
      </c>
      <c r="L471">
        <f t="shared" si="35"/>
        <v>4402.6285714285714</v>
      </c>
      <c r="M471" s="8">
        <f t="shared" si="36"/>
        <v>7.020967993146951E-2</v>
      </c>
      <c r="N471" s="10">
        <f t="shared" si="37"/>
        <v>467643.88800000004</v>
      </c>
      <c r="O471" s="10">
        <f t="shared" si="38"/>
        <v>455859.79800000001</v>
      </c>
      <c r="P471" s="9" t="str">
        <f t="shared" si="39"/>
        <v>OK</v>
      </c>
      <c r="Q471" s="9" t="str">
        <f>INDEX(Crops!$B$2:$B$7,MATCH(D471,Crops!$A$2:$A$7,0))</f>
        <v>Pepper</v>
      </c>
      <c r="R471" s="9" t="str">
        <f>INDEX(Districts!$B$2:$B$6,MATCH(C471,Districts!$A$2:$A$6,0))</f>
        <v>Kintampo</v>
      </c>
    </row>
    <row r="472" spans="1:18">
      <c r="A472" t="s">
        <v>250</v>
      </c>
      <c r="B472" s="4">
        <v>46149</v>
      </c>
      <c r="C472" t="s">
        <v>47</v>
      </c>
      <c r="D472" t="s">
        <v>35</v>
      </c>
      <c r="E472">
        <v>10.5</v>
      </c>
      <c r="F472">
        <v>92389.2</v>
      </c>
      <c r="G472">
        <v>14612</v>
      </c>
      <c r="H472">
        <v>77777.2</v>
      </c>
      <c r="I472" t="s">
        <v>77</v>
      </c>
      <c r="J472">
        <v>7.3</v>
      </c>
      <c r="K472">
        <v>18320.689999999999</v>
      </c>
      <c r="L472">
        <f t="shared" si="35"/>
        <v>8798.971428571429</v>
      </c>
      <c r="M472" s="8">
        <f t="shared" si="36"/>
        <v>0.15815701402328411</v>
      </c>
      <c r="N472" s="10">
        <f t="shared" si="37"/>
        <v>567773.55999999994</v>
      </c>
      <c r="O472" s="10">
        <f t="shared" si="38"/>
        <v>549452.87</v>
      </c>
      <c r="P472" s="9" t="str">
        <f t="shared" si="39"/>
        <v>OK</v>
      </c>
      <c r="Q472" s="9" t="str">
        <f>INDEX(Crops!$B$2:$B$7,MATCH(D472,Crops!$A$2:$A$7,0))</f>
        <v>Tomato</v>
      </c>
      <c r="R472" s="9" t="str">
        <f>INDEX(Districts!$B$2:$B$6,MATCH(C472,Districts!$A$2:$A$6,0))</f>
        <v>Techiman</v>
      </c>
    </row>
    <row r="473" spans="1:18">
      <c r="A473" t="s">
        <v>252</v>
      </c>
      <c r="B473" s="4">
        <v>46088</v>
      </c>
      <c r="C473" t="s">
        <v>53</v>
      </c>
      <c r="D473" t="s">
        <v>33</v>
      </c>
      <c r="E473">
        <v>13.5</v>
      </c>
      <c r="F473">
        <v>32586.2</v>
      </c>
      <c r="G473">
        <v>1055.0999999999999</v>
      </c>
      <c r="H473">
        <v>31531.1</v>
      </c>
      <c r="I473" t="s">
        <v>70</v>
      </c>
      <c r="J473">
        <v>5.52</v>
      </c>
      <c r="K473">
        <v>18948.650000000001</v>
      </c>
      <c r="L473">
        <f t="shared" si="35"/>
        <v>2413.7925925925924</v>
      </c>
      <c r="M473" s="8">
        <f t="shared" si="36"/>
        <v>3.2378737011372907E-2</v>
      </c>
      <c r="N473" s="10">
        <f t="shared" si="37"/>
        <v>174051.67199999999</v>
      </c>
      <c r="O473" s="10">
        <f t="shared" si="38"/>
        <v>155103.022</v>
      </c>
      <c r="P473" s="9" t="str">
        <f t="shared" si="39"/>
        <v>OK</v>
      </c>
      <c r="Q473" s="9" t="str">
        <f>INDEX(Crops!$B$2:$B$7,MATCH(D473,Crops!$A$2:$A$7,0))</f>
        <v>Rice</v>
      </c>
      <c r="R473" s="9" t="str">
        <f>INDEX(Districts!$B$2:$B$6,MATCH(C473,Districts!$A$2:$A$6,0))</f>
        <v>Hohoe</v>
      </c>
    </row>
    <row r="474" spans="1:18">
      <c r="A474" t="s">
        <v>253</v>
      </c>
      <c r="B474" s="4">
        <v>45871</v>
      </c>
      <c r="C474" t="s">
        <v>45</v>
      </c>
      <c r="D474" t="s">
        <v>33</v>
      </c>
      <c r="E474">
        <v>4</v>
      </c>
      <c r="F474">
        <v>7874.8</v>
      </c>
      <c r="G474">
        <v>1255.0999999999999</v>
      </c>
      <c r="H474">
        <v>6619.7</v>
      </c>
      <c r="I474" t="s">
        <v>65</v>
      </c>
      <c r="J474">
        <v>6.25</v>
      </c>
      <c r="K474">
        <v>5460.32</v>
      </c>
      <c r="L474">
        <f t="shared" si="35"/>
        <v>1968.7</v>
      </c>
      <c r="M474" s="8">
        <f t="shared" si="36"/>
        <v>0.15938182557017319</v>
      </c>
      <c r="N474" s="10">
        <f t="shared" si="37"/>
        <v>41373.125</v>
      </c>
      <c r="O474" s="10">
        <f t="shared" si="38"/>
        <v>35912.805</v>
      </c>
      <c r="P474" s="9" t="str">
        <f t="shared" si="39"/>
        <v>OK</v>
      </c>
      <c r="Q474" s="9" t="str">
        <f>INDEX(Crops!$B$2:$B$7,MATCH(D474,Crops!$A$2:$A$7,0))</f>
        <v>Rice</v>
      </c>
      <c r="R474" s="9" t="str">
        <f>INDEX(Districts!$B$2:$B$6,MATCH(C474,Districts!$A$2:$A$6,0))</f>
        <v>Ejura</v>
      </c>
    </row>
    <row r="475" spans="1:18">
      <c r="A475" t="s">
        <v>207</v>
      </c>
      <c r="B475" s="4">
        <v>45972</v>
      </c>
      <c r="C475" t="s">
        <v>51</v>
      </c>
      <c r="D475" t="s">
        <v>33</v>
      </c>
      <c r="E475">
        <v>4.4000000000000004</v>
      </c>
      <c r="F475">
        <v>12859.7</v>
      </c>
      <c r="G475">
        <v>633.9</v>
      </c>
      <c r="H475">
        <v>12225.8</v>
      </c>
      <c r="I475" t="s">
        <v>65</v>
      </c>
      <c r="J475">
        <v>6.26</v>
      </c>
      <c r="K475">
        <v>4052.62</v>
      </c>
      <c r="L475">
        <f t="shared" si="35"/>
        <v>2922.659090909091</v>
      </c>
      <c r="M475" s="8">
        <f t="shared" si="36"/>
        <v>4.9293529398041942E-2</v>
      </c>
      <c r="N475" s="10">
        <f t="shared" si="37"/>
        <v>76533.507999999987</v>
      </c>
      <c r="O475" s="10">
        <f t="shared" si="38"/>
        <v>72480.887999999992</v>
      </c>
      <c r="P475" s="9" t="str">
        <f t="shared" si="39"/>
        <v>OK</v>
      </c>
      <c r="Q475" s="9" t="str">
        <f>INDEX(Crops!$B$2:$B$7,MATCH(D475,Crops!$A$2:$A$7,0))</f>
        <v>Rice</v>
      </c>
      <c r="R475" s="9" t="str">
        <f>INDEX(Districts!$B$2:$B$6,MATCH(C475,Districts!$A$2:$A$6,0))</f>
        <v>Kintampo</v>
      </c>
    </row>
    <row r="476" spans="1:18">
      <c r="A476" t="s">
        <v>254</v>
      </c>
      <c r="B476" s="4">
        <v>46118</v>
      </c>
      <c r="C476" t="s">
        <v>49</v>
      </c>
      <c r="D476" t="s">
        <v>39</v>
      </c>
      <c r="E476">
        <v>7.9</v>
      </c>
      <c r="F476">
        <v>10537.7</v>
      </c>
      <c r="G476">
        <v>584.20000000000005</v>
      </c>
      <c r="H476">
        <v>9953.5</v>
      </c>
      <c r="I476" t="s">
        <v>65</v>
      </c>
      <c r="J476">
        <v>4.82</v>
      </c>
      <c r="K476">
        <v>11453.45</v>
      </c>
      <c r="L476">
        <f t="shared" si="35"/>
        <v>1333.8860759493671</v>
      </c>
      <c r="M476" s="8">
        <f t="shared" si="36"/>
        <v>5.5439042675346613E-2</v>
      </c>
      <c r="N476" s="10">
        <f t="shared" si="37"/>
        <v>47975.87</v>
      </c>
      <c r="O476" s="10">
        <f t="shared" si="38"/>
        <v>36522.42</v>
      </c>
      <c r="P476" s="9" t="str">
        <f t="shared" si="39"/>
        <v>OK</v>
      </c>
      <c r="Q476" s="9" t="str">
        <f>INDEX(Crops!$B$2:$B$7,MATCH(D476,Crops!$A$2:$A$7,0))</f>
        <v>Soybean</v>
      </c>
      <c r="R476" s="9" t="str">
        <f>INDEX(Districts!$B$2:$B$6,MATCH(C476,Districts!$A$2:$A$6,0))</f>
        <v>Tamale Metro</v>
      </c>
    </row>
    <row r="477" spans="1:18">
      <c r="A477" t="s">
        <v>215</v>
      </c>
      <c r="B477" s="4">
        <v>46022</v>
      </c>
      <c r="C477" t="s">
        <v>51</v>
      </c>
      <c r="D477" t="s">
        <v>35</v>
      </c>
      <c r="E477">
        <v>14.7</v>
      </c>
      <c r="F477">
        <v>100934.3</v>
      </c>
      <c r="G477">
        <v>14569.3</v>
      </c>
      <c r="H477">
        <v>86365</v>
      </c>
      <c r="I477" t="s">
        <v>65</v>
      </c>
      <c r="J477">
        <v>6.54</v>
      </c>
      <c r="K477">
        <v>15478.57</v>
      </c>
      <c r="L477">
        <f t="shared" si="35"/>
        <v>6866.2789115646265</v>
      </c>
      <c r="M477" s="8">
        <f t="shared" si="36"/>
        <v>0.1443443903608585</v>
      </c>
      <c r="N477" s="10">
        <f t="shared" si="37"/>
        <v>564827.1</v>
      </c>
      <c r="O477" s="10">
        <f t="shared" si="38"/>
        <v>549348.53</v>
      </c>
      <c r="P477" s="9" t="str">
        <f t="shared" si="39"/>
        <v>OK</v>
      </c>
      <c r="Q477" s="9" t="str">
        <f>INDEX(Crops!$B$2:$B$7,MATCH(D477,Crops!$A$2:$A$7,0))</f>
        <v>Tomato</v>
      </c>
      <c r="R477" s="9" t="str">
        <f>INDEX(Districts!$B$2:$B$6,MATCH(C477,Districts!$A$2:$A$6,0))</f>
        <v>Kintampo</v>
      </c>
    </row>
    <row r="478" spans="1:18">
      <c r="A478" t="s">
        <v>90</v>
      </c>
      <c r="B478" s="4">
        <v>45863</v>
      </c>
      <c r="C478" t="s">
        <v>47</v>
      </c>
      <c r="D478" t="s">
        <v>41</v>
      </c>
      <c r="E478">
        <v>12.3</v>
      </c>
      <c r="F478">
        <v>88632.9</v>
      </c>
      <c r="G478">
        <v>2241.4</v>
      </c>
      <c r="H478">
        <v>86391.5</v>
      </c>
      <c r="I478" t="s">
        <v>65</v>
      </c>
      <c r="J478">
        <v>2.73</v>
      </c>
      <c r="K478">
        <v>8488.02</v>
      </c>
      <c r="L478">
        <f t="shared" si="35"/>
        <v>7205.9268292682918</v>
      </c>
      <c r="M478" s="8">
        <f t="shared" si="36"/>
        <v>2.5288577943404767E-2</v>
      </c>
      <c r="N478" s="10">
        <f t="shared" si="37"/>
        <v>235848.79500000001</v>
      </c>
      <c r="O478" s="10">
        <f t="shared" si="38"/>
        <v>227360.77500000002</v>
      </c>
      <c r="P478" s="9" t="str">
        <f t="shared" si="39"/>
        <v>OK</v>
      </c>
      <c r="Q478" s="9" t="str">
        <f>INDEX(Crops!$B$2:$B$7,MATCH(D478,Crops!$A$2:$A$7,0))</f>
        <v>Cassava</v>
      </c>
      <c r="R478" s="9" t="str">
        <f>INDEX(Districts!$B$2:$B$6,MATCH(C478,Districts!$A$2:$A$6,0))</f>
        <v>Techiman</v>
      </c>
    </row>
    <row r="479" spans="1:18">
      <c r="A479" t="s">
        <v>240</v>
      </c>
      <c r="B479" s="4">
        <v>46079</v>
      </c>
      <c r="C479" t="s">
        <v>49</v>
      </c>
      <c r="D479" t="s">
        <v>37</v>
      </c>
      <c r="E479">
        <v>5.9</v>
      </c>
      <c r="F479">
        <v>26033.8</v>
      </c>
      <c r="G479">
        <v>3427.4</v>
      </c>
      <c r="H479">
        <v>22606.400000000001</v>
      </c>
      <c r="I479" t="s">
        <v>67</v>
      </c>
      <c r="J479">
        <v>10.08</v>
      </c>
      <c r="K479">
        <v>7067.05</v>
      </c>
      <c r="L479">
        <f t="shared" si="35"/>
        <v>4412.5084745762706</v>
      </c>
      <c r="M479" s="8">
        <f t="shared" si="36"/>
        <v>0.13165192941483764</v>
      </c>
      <c r="N479" s="10">
        <f t="shared" si="37"/>
        <v>227872.51200000002</v>
      </c>
      <c r="O479" s="10">
        <f t="shared" si="38"/>
        <v>220805.46200000003</v>
      </c>
      <c r="P479" s="9" t="str">
        <f t="shared" si="39"/>
        <v>OK</v>
      </c>
      <c r="Q479" s="9" t="str">
        <f>INDEX(Crops!$B$2:$B$7,MATCH(D479,Crops!$A$2:$A$7,0))</f>
        <v>Pepper</v>
      </c>
      <c r="R479" s="9" t="str">
        <f>INDEX(Districts!$B$2:$B$6,MATCH(C479,Districts!$A$2:$A$6,0))</f>
        <v>Tamale Metro</v>
      </c>
    </row>
    <row r="480" spans="1:18">
      <c r="A480" t="s">
        <v>241</v>
      </c>
      <c r="B480" s="4">
        <v>46091</v>
      </c>
      <c r="C480" t="s">
        <v>53</v>
      </c>
      <c r="D480" t="s">
        <v>33</v>
      </c>
      <c r="E480">
        <v>4.2</v>
      </c>
      <c r="F480">
        <v>9640.9</v>
      </c>
      <c r="G480">
        <v>227.7</v>
      </c>
      <c r="H480">
        <v>9413.2000000000007</v>
      </c>
      <c r="I480" t="s">
        <v>70</v>
      </c>
      <c r="J480">
        <v>5.34</v>
      </c>
      <c r="K480">
        <v>3011.2</v>
      </c>
      <c r="L480">
        <f t="shared" si="35"/>
        <v>2295.4523809523807</v>
      </c>
      <c r="M480" s="8">
        <f t="shared" si="36"/>
        <v>2.3618126938356378E-2</v>
      </c>
      <c r="N480" s="10">
        <f t="shared" si="37"/>
        <v>50266.488000000005</v>
      </c>
      <c r="O480" s="10">
        <f t="shared" si="38"/>
        <v>47255.288000000008</v>
      </c>
      <c r="P480" s="9" t="str">
        <f t="shared" si="39"/>
        <v>OK</v>
      </c>
      <c r="Q480" s="9" t="str">
        <f>INDEX(Crops!$B$2:$B$7,MATCH(D480,Crops!$A$2:$A$7,0))</f>
        <v>Rice</v>
      </c>
      <c r="R480" s="9" t="str">
        <f>INDEX(Districts!$B$2:$B$6,MATCH(C480,Districts!$A$2:$A$6,0))</f>
        <v>Hohoe</v>
      </c>
    </row>
    <row r="481" spans="1:18">
      <c r="A481" t="s">
        <v>195</v>
      </c>
      <c r="B481" s="4">
        <v>45841</v>
      </c>
      <c r="C481" t="s">
        <v>51</v>
      </c>
      <c r="D481" t="s">
        <v>35</v>
      </c>
      <c r="E481">
        <v>5.4</v>
      </c>
      <c r="F481">
        <v>47844.6</v>
      </c>
      <c r="G481">
        <v>2780.7</v>
      </c>
      <c r="H481">
        <v>45063.9</v>
      </c>
      <c r="I481" t="s">
        <v>77</v>
      </c>
      <c r="J481">
        <v>5.65</v>
      </c>
      <c r="K481">
        <v>6974.45</v>
      </c>
      <c r="L481">
        <f t="shared" si="35"/>
        <v>8860.1111111111095</v>
      </c>
      <c r="M481" s="8">
        <f t="shared" si="36"/>
        <v>5.8119411595038938E-2</v>
      </c>
      <c r="N481" s="10">
        <f t="shared" si="37"/>
        <v>254611.03500000003</v>
      </c>
      <c r="O481" s="10">
        <f t="shared" si="38"/>
        <v>247636.58500000002</v>
      </c>
      <c r="P481" s="9" t="str">
        <f t="shared" si="39"/>
        <v>OK</v>
      </c>
      <c r="Q481" s="9" t="str">
        <f>INDEX(Crops!$B$2:$B$7,MATCH(D481,Crops!$A$2:$A$7,0))</f>
        <v>Tomato</v>
      </c>
      <c r="R481" s="9" t="str">
        <f>INDEX(Districts!$B$2:$B$6,MATCH(C481,Districts!$A$2:$A$6,0))</f>
        <v>Kintampo</v>
      </c>
    </row>
    <row r="482" spans="1:18">
      <c r="A482" t="s">
        <v>103</v>
      </c>
      <c r="B482" s="4">
        <v>46023</v>
      </c>
      <c r="C482" t="s">
        <v>45</v>
      </c>
      <c r="D482" t="s">
        <v>41</v>
      </c>
      <c r="E482">
        <v>13.9</v>
      </c>
      <c r="F482">
        <v>108880.4</v>
      </c>
      <c r="G482">
        <v>4220.7</v>
      </c>
      <c r="H482">
        <v>104659.7</v>
      </c>
      <c r="I482" t="s">
        <v>67</v>
      </c>
      <c r="J482">
        <v>2.46</v>
      </c>
      <c r="K482">
        <v>23681.11</v>
      </c>
      <c r="L482">
        <f t="shared" si="35"/>
        <v>7833.1223021582728</v>
      </c>
      <c r="M482" s="8">
        <f t="shared" si="36"/>
        <v>3.8764552665126135E-2</v>
      </c>
      <c r="N482" s="10">
        <f t="shared" si="37"/>
        <v>257462.86199999999</v>
      </c>
      <c r="O482" s="10">
        <f t="shared" si="38"/>
        <v>233781.75199999998</v>
      </c>
      <c r="P482" s="9" t="str">
        <f t="shared" si="39"/>
        <v>OK</v>
      </c>
      <c r="Q482" s="9" t="str">
        <f>INDEX(Crops!$B$2:$B$7,MATCH(D482,Crops!$A$2:$A$7,0))</f>
        <v>Cassava</v>
      </c>
      <c r="R482" s="9" t="str">
        <f>INDEX(Districts!$B$2:$B$6,MATCH(C482,Districts!$A$2:$A$6,0))</f>
        <v>Ejura</v>
      </c>
    </row>
    <row r="483" spans="1:18">
      <c r="A483" t="s">
        <v>255</v>
      </c>
      <c r="B483" s="4">
        <v>46006</v>
      </c>
      <c r="C483" t="s">
        <v>45</v>
      </c>
      <c r="D483" t="s">
        <v>39</v>
      </c>
      <c r="E483">
        <v>6</v>
      </c>
      <c r="F483">
        <v>11563.8</v>
      </c>
      <c r="G483">
        <v>1799</v>
      </c>
      <c r="H483">
        <v>9764.7999999999993</v>
      </c>
      <c r="I483" t="s">
        <v>67</v>
      </c>
      <c r="J483">
        <v>4.5</v>
      </c>
      <c r="K483">
        <v>4042.21</v>
      </c>
      <c r="L483">
        <f t="shared" si="35"/>
        <v>1927.3</v>
      </c>
      <c r="M483" s="8">
        <f t="shared" si="36"/>
        <v>0.15557169788477837</v>
      </c>
      <c r="N483" s="10">
        <f t="shared" si="37"/>
        <v>43941.599999999999</v>
      </c>
      <c r="O483" s="10">
        <f t="shared" si="38"/>
        <v>39899.39</v>
      </c>
      <c r="P483" s="9" t="str">
        <f t="shared" si="39"/>
        <v>OK</v>
      </c>
      <c r="Q483" s="9" t="str">
        <f>INDEX(Crops!$B$2:$B$7,MATCH(D483,Crops!$A$2:$A$7,0))</f>
        <v>Soybean</v>
      </c>
      <c r="R483" s="9" t="str">
        <f>INDEX(Districts!$B$2:$B$6,MATCH(C483,Districts!$A$2:$A$6,0))</f>
        <v>Ejura</v>
      </c>
    </row>
    <row r="484" spans="1:18">
      <c r="A484" t="s">
        <v>168</v>
      </c>
      <c r="B484" s="4">
        <v>45841</v>
      </c>
      <c r="C484" t="s">
        <v>49</v>
      </c>
      <c r="D484" t="s">
        <v>35</v>
      </c>
      <c r="E484">
        <v>3.6</v>
      </c>
      <c r="F484">
        <v>21505.4</v>
      </c>
      <c r="G484">
        <v>2715.9</v>
      </c>
      <c r="H484">
        <v>18789.5</v>
      </c>
      <c r="I484" t="s">
        <v>65</v>
      </c>
      <c r="J484">
        <v>7.08</v>
      </c>
      <c r="K484">
        <v>5997.39</v>
      </c>
      <c r="L484">
        <f t="shared" si="35"/>
        <v>5973.7222222222226</v>
      </c>
      <c r="M484" s="8">
        <f t="shared" si="36"/>
        <v>0.1262892110818678</v>
      </c>
      <c r="N484" s="10">
        <f t="shared" si="37"/>
        <v>133029.66</v>
      </c>
      <c r="O484" s="10">
        <f t="shared" si="38"/>
        <v>127032.27</v>
      </c>
      <c r="P484" s="9" t="str">
        <f t="shared" si="39"/>
        <v>OK</v>
      </c>
      <c r="Q484" s="9" t="str">
        <f>INDEX(Crops!$B$2:$B$7,MATCH(D484,Crops!$A$2:$A$7,0))</f>
        <v>Tomato</v>
      </c>
      <c r="R484" s="9" t="str">
        <f>INDEX(Districts!$B$2:$B$6,MATCH(C484,Districts!$A$2:$A$6,0))</f>
        <v>Tamale Metro</v>
      </c>
    </row>
    <row r="485" spans="1:18">
      <c r="A485" t="s">
        <v>137</v>
      </c>
      <c r="B485" s="4">
        <v>45912</v>
      </c>
      <c r="C485" t="s">
        <v>53</v>
      </c>
      <c r="D485" t="s">
        <v>41</v>
      </c>
      <c r="E485">
        <v>6.3</v>
      </c>
      <c r="F485">
        <v>29171.5</v>
      </c>
      <c r="G485">
        <v>4117.8</v>
      </c>
      <c r="H485">
        <v>25053.7</v>
      </c>
      <c r="I485" t="s">
        <v>70</v>
      </c>
      <c r="J485">
        <v>2.15</v>
      </c>
      <c r="K485">
        <v>11065.77</v>
      </c>
      <c r="L485">
        <f t="shared" si="35"/>
        <v>4630.3968253968251</v>
      </c>
      <c r="M485" s="8">
        <f t="shared" si="36"/>
        <v>0.14115832233515591</v>
      </c>
      <c r="N485" s="10">
        <f t="shared" si="37"/>
        <v>53865.455000000002</v>
      </c>
      <c r="O485" s="10">
        <f t="shared" si="38"/>
        <v>42799.684999999998</v>
      </c>
      <c r="P485" s="9" t="str">
        <f t="shared" si="39"/>
        <v>OK</v>
      </c>
      <c r="Q485" s="9" t="str">
        <f>INDEX(Crops!$B$2:$B$7,MATCH(D485,Crops!$A$2:$A$7,0))</f>
        <v>Cassava</v>
      </c>
      <c r="R485" s="9" t="str">
        <f>INDEX(Districts!$B$2:$B$6,MATCH(C485,Districts!$A$2:$A$6,0))</f>
        <v>Hohoe</v>
      </c>
    </row>
    <row r="486" spans="1:18">
      <c r="A486" t="s">
        <v>104</v>
      </c>
      <c r="B486" s="4">
        <v>45857</v>
      </c>
      <c r="C486" t="s">
        <v>51</v>
      </c>
      <c r="D486" t="s">
        <v>35</v>
      </c>
      <c r="E486">
        <v>3.7</v>
      </c>
      <c r="F486">
        <v>33909.5</v>
      </c>
      <c r="G486">
        <v>1392.7</v>
      </c>
      <c r="H486">
        <v>32516.799999999999</v>
      </c>
      <c r="I486" t="s">
        <v>70</v>
      </c>
      <c r="J486">
        <v>6.88</v>
      </c>
      <c r="K486">
        <v>2561.62</v>
      </c>
      <c r="L486">
        <f t="shared" si="35"/>
        <v>9164.72972972973</v>
      </c>
      <c r="M486" s="8">
        <f t="shared" si="36"/>
        <v>4.1071086273758092E-2</v>
      </c>
      <c r="N486" s="10">
        <f t="shared" si="37"/>
        <v>223715.584</v>
      </c>
      <c r="O486" s="10">
        <f t="shared" si="38"/>
        <v>221153.96400000001</v>
      </c>
      <c r="P486" s="9" t="str">
        <f t="shared" si="39"/>
        <v>OK</v>
      </c>
      <c r="Q486" s="9" t="str">
        <f>INDEX(Crops!$B$2:$B$7,MATCH(D486,Crops!$A$2:$A$7,0))</f>
        <v>Tomato</v>
      </c>
      <c r="R486" s="9" t="str">
        <f>INDEX(Districts!$B$2:$B$6,MATCH(C486,Districts!$A$2:$A$6,0))</f>
        <v>Kintampo</v>
      </c>
    </row>
    <row r="487" spans="1:18">
      <c r="A487" t="s">
        <v>154</v>
      </c>
      <c r="B487" s="4">
        <v>46095</v>
      </c>
      <c r="C487" t="s">
        <v>47</v>
      </c>
      <c r="D487" t="s">
        <v>35</v>
      </c>
      <c r="E487">
        <v>9.4</v>
      </c>
      <c r="F487">
        <v>48660.4</v>
      </c>
      <c r="G487">
        <v>2003.8</v>
      </c>
      <c r="H487">
        <v>46656.6</v>
      </c>
      <c r="I487" t="s">
        <v>77</v>
      </c>
      <c r="J487">
        <v>6.64</v>
      </c>
      <c r="K487">
        <v>15012.35</v>
      </c>
      <c r="L487">
        <f t="shared" si="35"/>
        <v>5176.6382978723404</v>
      </c>
      <c r="M487" s="8">
        <f t="shared" si="36"/>
        <v>4.1179275139538514E-2</v>
      </c>
      <c r="N487" s="10">
        <f t="shared" si="37"/>
        <v>309799.82399999996</v>
      </c>
      <c r="O487" s="10">
        <f t="shared" si="38"/>
        <v>294787.47399999999</v>
      </c>
      <c r="P487" s="9" t="str">
        <f t="shared" si="39"/>
        <v>OK</v>
      </c>
      <c r="Q487" s="9" t="str">
        <f>INDEX(Crops!$B$2:$B$7,MATCH(D487,Crops!$A$2:$A$7,0))</f>
        <v>Tomato</v>
      </c>
      <c r="R487" s="9" t="str">
        <f>INDEX(Districts!$B$2:$B$6,MATCH(C487,Districts!$A$2:$A$6,0))</f>
        <v>Techiman</v>
      </c>
    </row>
    <row r="488" spans="1:18">
      <c r="A488" t="s">
        <v>74</v>
      </c>
      <c r="B488" s="4">
        <v>45929</v>
      </c>
      <c r="C488" t="s">
        <v>45</v>
      </c>
      <c r="D488" t="s">
        <v>31</v>
      </c>
      <c r="E488">
        <v>3.6</v>
      </c>
      <c r="F488">
        <v>7121.6</v>
      </c>
      <c r="G488">
        <v>676.7</v>
      </c>
      <c r="H488">
        <v>6444.9</v>
      </c>
      <c r="I488" t="s">
        <v>70</v>
      </c>
      <c r="J488">
        <v>3.37</v>
      </c>
      <c r="K488">
        <v>2591.0300000000002</v>
      </c>
      <c r="L488">
        <f t="shared" si="35"/>
        <v>1978.2222222222222</v>
      </c>
      <c r="M488" s="8">
        <f t="shared" si="36"/>
        <v>9.5020781846776009E-2</v>
      </c>
      <c r="N488" s="10">
        <f t="shared" si="37"/>
        <v>21719.312999999998</v>
      </c>
      <c r="O488" s="10">
        <f t="shared" si="38"/>
        <v>19128.282999999999</v>
      </c>
      <c r="P488" s="9" t="str">
        <f t="shared" si="39"/>
        <v>OK</v>
      </c>
      <c r="Q488" s="9" t="str">
        <f>INDEX(Crops!$B$2:$B$7,MATCH(D488,Crops!$A$2:$A$7,0))</f>
        <v>Maize</v>
      </c>
      <c r="R488" s="9" t="str">
        <f>INDEX(Districts!$B$2:$B$6,MATCH(C488,Districts!$A$2:$A$6,0))</f>
        <v>Ejura</v>
      </c>
    </row>
    <row r="489" spans="1:18">
      <c r="A489" t="s">
        <v>121</v>
      </c>
      <c r="B489" s="4">
        <v>46145</v>
      </c>
      <c r="C489" t="s">
        <v>53</v>
      </c>
      <c r="D489" t="s">
        <v>39</v>
      </c>
      <c r="E489">
        <v>1.8</v>
      </c>
      <c r="F489">
        <v>3634.5</v>
      </c>
      <c r="G489">
        <v>262.8</v>
      </c>
      <c r="H489">
        <v>3371.7</v>
      </c>
      <c r="I489" t="s">
        <v>67</v>
      </c>
      <c r="J489">
        <v>4.47</v>
      </c>
      <c r="K489">
        <v>2701.43</v>
      </c>
      <c r="L489">
        <f t="shared" si="35"/>
        <v>2019.1666666666665</v>
      </c>
      <c r="M489" s="8">
        <f t="shared" si="36"/>
        <v>7.2307057366900546E-2</v>
      </c>
      <c r="N489" s="10">
        <f t="shared" si="37"/>
        <v>15071.498999999998</v>
      </c>
      <c r="O489" s="10">
        <f t="shared" si="38"/>
        <v>12370.068999999998</v>
      </c>
      <c r="P489" s="9" t="str">
        <f t="shared" si="39"/>
        <v>OK</v>
      </c>
      <c r="Q489" s="9" t="str">
        <f>INDEX(Crops!$B$2:$B$7,MATCH(D489,Crops!$A$2:$A$7,0))</f>
        <v>Soybean</v>
      </c>
      <c r="R489" s="9" t="str">
        <f>INDEX(Districts!$B$2:$B$6,MATCH(C489,Districts!$A$2:$A$6,0))</f>
        <v>Hohoe</v>
      </c>
    </row>
    <row r="490" spans="1:18">
      <c r="A490" t="s">
        <v>202</v>
      </c>
      <c r="B490" s="4">
        <v>46024</v>
      </c>
      <c r="C490" t="s">
        <v>49</v>
      </c>
      <c r="D490" t="s">
        <v>37</v>
      </c>
      <c r="E490">
        <v>2.2999999999999998</v>
      </c>
      <c r="F490">
        <v>7504.9</v>
      </c>
      <c r="G490">
        <v>1160.9000000000001</v>
      </c>
      <c r="H490">
        <v>6344</v>
      </c>
      <c r="I490" t="s">
        <v>67</v>
      </c>
      <c r="J490">
        <v>8.5399999999999991</v>
      </c>
      <c r="K490">
        <v>4117.1099999999997</v>
      </c>
      <c r="L490">
        <f t="shared" si="35"/>
        <v>3263</v>
      </c>
      <c r="M490" s="8">
        <f t="shared" si="36"/>
        <v>0.1546856054044691</v>
      </c>
      <c r="N490" s="10">
        <f t="shared" si="37"/>
        <v>54177.759999999995</v>
      </c>
      <c r="O490" s="10">
        <f t="shared" si="38"/>
        <v>50060.649999999994</v>
      </c>
      <c r="P490" s="9" t="str">
        <f t="shared" si="39"/>
        <v>OK</v>
      </c>
      <c r="Q490" s="9" t="str">
        <f>INDEX(Crops!$B$2:$B$7,MATCH(D490,Crops!$A$2:$A$7,0))</f>
        <v>Pepper</v>
      </c>
      <c r="R490" s="9" t="str">
        <f>INDEX(Districts!$B$2:$B$6,MATCH(C490,Districts!$A$2:$A$6,0))</f>
        <v>Tamale Metro</v>
      </c>
    </row>
    <row r="491" spans="1:18">
      <c r="A491" t="s">
        <v>256</v>
      </c>
      <c r="B491" s="4">
        <v>46075</v>
      </c>
      <c r="C491" t="s">
        <v>49</v>
      </c>
      <c r="D491" t="s">
        <v>37</v>
      </c>
      <c r="E491">
        <v>3.7</v>
      </c>
      <c r="F491">
        <v>22498.1</v>
      </c>
      <c r="G491">
        <v>2339</v>
      </c>
      <c r="H491">
        <v>20159.099999999999</v>
      </c>
      <c r="I491" t="s">
        <v>65</v>
      </c>
      <c r="J491">
        <v>8.58</v>
      </c>
      <c r="K491">
        <v>3231.42</v>
      </c>
      <c r="L491">
        <f t="shared" si="35"/>
        <v>6080.5675675675666</v>
      </c>
      <c r="M491" s="8">
        <f t="shared" si="36"/>
        <v>0.10396433476604691</v>
      </c>
      <c r="N491" s="10">
        <f t="shared" si="37"/>
        <v>172965.07799999998</v>
      </c>
      <c r="O491" s="10">
        <f t="shared" si="38"/>
        <v>169733.65799999997</v>
      </c>
      <c r="P491" s="9" t="str">
        <f t="shared" si="39"/>
        <v>OK</v>
      </c>
      <c r="Q491" s="9" t="str">
        <f>INDEX(Crops!$B$2:$B$7,MATCH(D491,Crops!$A$2:$A$7,0))</f>
        <v>Pepper</v>
      </c>
      <c r="R491" s="9" t="str">
        <f>INDEX(Districts!$B$2:$B$6,MATCH(C491,Districts!$A$2:$A$6,0))</f>
        <v>Tamale Metro</v>
      </c>
    </row>
    <row r="492" spans="1:18">
      <c r="A492" t="s">
        <v>219</v>
      </c>
      <c r="B492" s="4">
        <v>46202</v>
      </c>
      <c r="C492" t="s">
        <v>47</v>
      </c>
      <c r="D492" t="s">
        <v>39</v>
      </c>
      <c r="E492">
        <v>2.4</v>
      </c>
      <c r="F492">
        <v>4295</v>
      </c>
      <c r="G492">
        <v>605.29999999999995</v>
      </c>
      <c r="H492">
        <v>3689.7</v>
      </c>
      <c r="I492" t="s">
        <v>77</v>
      </c>
      <c r="J492">
        <v>4.01</v>
      </c>
      <c r="K492">
        <v>3610.08</v>
      </c>
      <c r="L492">
        <f t="shared" si="35"/>
        <v>1789.5833333333335</v>
      </c>
      <c r="M492" s="8">
        <f t="shared" si="36"/>
        <v>0.14093131548311991</v>
      </c>
      <c r="N492" s="10">
        <f t="shared" si="37"/>
        <v>14795.696999999998</v>
      </c>
      <c r="O492" s="10">
        <f t="shared" si="38"/>
        <v>11185.616999999998</v>
      </c>
      <c r="P492" s="9" t="str">
        <f t="shared" si="39"/>
        <v>OK</v>
      </c>
      <c r="Q492" s="9" t="str">
        <f>INDEX(Crops!$B$2:$B$7,MATCH(D492,Crops!$A$2:$A$7,0))</f>
        <v>Soybean</v>
      </c>
      <c r="R492" s="9" t="str">
        <f>INDEX(Districts!$B$2:$B$6,MATCH(C492,Districts!$A$2:$A$6,0))</f>
        <v>Techiman</v>
      </c>
    </row>
    <row r="493" spans="1:18">
      <c r="A493" t="s">
        <v>228</v>
      </c>
      <c r="B493" s="4">
        <v>46082</v>
      </c>
      <c r="C493" t="s">
        <v>49</v>
      </c>
      <c r="D493" t="s">
        <v>35</v>
      </c>
      <c r="E493">
        <v>1.5</v>
      </c>
      <c r="F493">
        <v>7443.7</v>
      </c>
      <c r="G493">
        <v>1081.2</v>
      </c>
      <c r="H493">
        <v>6362.5</v>
      </c>
      <c r="I493" t="s">
        <v>70</v>
      </c>
      <c r="J493">
        <v>6.27</v>
      </c>
      <c r="K493">
        <v>2138.5100000000002</v>
      </c>
      <c r="L493">
        <f t="shared" si="35"/>
        <v>4962.4666666666662</v>
      </c>
      <c r="M493" s="8">
        <f t="shared" si="36"/>
        <v>0.1452503459301154</v>
      </c>
      <c r="N493" s="10">
        <f t="shared" si="37"/>
        <v>39892.875</v>
      </c>
      <c r="O493" s="10">
        <f t="shared" si="38"/>
        <v>37754.364999999998</v>
      </c>
      <c r="P493" s="9" t="str">
        <f t="shared" si="39"/>
        <v>OK</v>
      </c>
      <c r="Q493" s="9" t="str">
        <f>INDEX(Crops!$B$2:$B$7,MATCH(D493,Crops!$A$2:$A$7,0))</f>
        <v>Tomato</v>
      </c>
      <c r="R493" s="9" t="str">
        <f>INDEX(Districts!$B$2:$B$6,MATCH(C493,Districts!$A$2:$A$6,0))</f>
        <v>Tamale Metro</v>
      </c>
    </row>
    <row r="494" spans="1:18">
      <c r="A494" t="s">
        <v>257</v>
      </c>
      <c r="B494" s="4">
        <v>46172</v>
      </c>
      <c r="C494" t="s">
        <v>53</v>
      </c>
      <c r="D494" t="s">
        <v>31</v>
      </c>
      <c r="E494">
        <v>2.2999999999999998</v>
      </c>
      <c r="F494">
        <v>3526.5</v>
      </c>
      <c r="G494">
        <v>338.2</v>
      </c>
      <c r="H494">
        <v>3188.3</v>
      </c>
      <c r="I494" t="s">
        <v>70</v>
      </c>
      <c r="J494">
        <v>3.83</v>
      </c>
      <c r="K494">
        <v>2407.37</v>
      </c>
      <c r="L494">
        <f t="shared" si="35"/>
        <v>1533.2608695652175</v>
      </c>
      <c r="M494" s="8">
        <f t="shared" si="36"/>
        <v>9.590245285694031E-2</v>
      </c>
      <c r="N494" s="10">
        <f t="shared" si="37"/>
        <v>12211.189</v>
      </c>
      <c r="O494" s="10">
        <f t="shared" si="38"/>
        <v>9803.8189999999995</v>
      </c>
      <c r="P494" s="9" t="str">
        <f t="shared" si="39"/>
        <v>OK</v>
      </c>
      <c r="Q494" s="9" t="str">
        <f>INDEX(Crops!$B$2:$B$7,MATCH(D494,Crops!$A$2:$A$7,0))</f>
        <v>Maize</v>
      </c>
      <c r="R494" s="9" t="str">
        <f>INDEX(Districts!$B$2:$B$6,MATCH(C494,Districts!$A$2:$A$6,0))</f>
        <v>Hohoe</v>
      </c>
    </row>
    <row r="495" spans="1:18">
      <c r="A495" t="s">
        <v>152</v>
      </c>
      <c r="B495" s="4">
        <v>46077</v>
      </c>
      <c r="C495" t="s">
        <v>53</v>
      </c>
      <c r="D495" t="s">
        <v>35</v>
      </c>
      <c r="E495">
        <v>9.6999999999999993</v>
      </c>
      <c r="F495">
        <v>83934.399999999994</v>
      </c>
      <c r="G495">
        <v>4245.3999999999996</v>
      </c>
      <c r="H495">
        <v>79689</v>
      </c>
      <c r="I495" t="s">
        <v>65</v>
      </c>
      <c r="J495">
        <v>7.72</v>
      </c>
      <c r="K495">
        <v>10266.15</v>
      </c>
      <c r="L495">
        <f t="shared" si="35"/>
        <v>8653.0309278350524</v>
      </c>
      <c r="M495" s="8">
        <f t="shared" si="36"/>
        <v>5.0579976743742733E-2</v>
      </c>
      <c r="N495" s="10">
        <f t="shared" si="37"/>
        <v>615199.07999999996</v>
      </c>
      <c r="O495" s="10">
        <f t="shared" si="38"/>
        <v>604932.92999999993</v>
      </c>
      <c r="P495" s="9" t="str">
        <f t="shared" si="39"/>
        <v>OK</v>
      </c>
      <c r="Q495" s="9" t="str">
        <f>INDEX(Crops!$B$2:$B$7,MATCH(D495,Crops!$A$2:$A$7,0))</f>
        <v>Tomato</v>
      </c>
      <c r="R495" s="9" t="str">
        <f>INDEX(Districts!$B$2:$B$6,MATCH(C495,Districts!$A$2:$A$6,0))</f>
        <v>Hohoe</v>
      </c>
    </row>
    <row r="496" spans="1:18">
      <c r="A496" t="s">
        <v>130</v>
      </c>
      <c r="B496" s="4">
        <v>45887</v>
      </c>
      <c r="C496" t="s">
        <v>45</v>
      </c>
      <c r="D496" t="s">
        <v>33</v>
      </c>
      <c r="E496">
        <v>13.4</v>
      </c>
      <c r="F496">
        <v>26146.400000000001</v>
      </c>
      <c r="G496">
        <v>3004.6</v>
      </c>
      <c r="H496">
        <v>23141.8</v>
      </c>
      <c r="I496" t="s">
        <v>77</v>
      </c>
      <c r="J496">
        <v>6</v>
      </c>
      <c r="K496">
        <v>13842.68</v>
      </c>
      <c r="L496">
        <f t="shared" si="35"/>
        <v>1951.2238805970151</v>
      </c>
      <c r="M496" s="8">
        <f t="shared" si="36"/>
        <v>0.11491448153474282</v>
      </c>
      <c r="N496" s="10">
        <f t="shared" si="37"/>
        <v>138850.79999999999</v>
      </c>
      <c r="O496" s="10">
        <f t="shared" si="38"/>
        <v>125008.12</v>
      </c>
      <c r="P496" s="9" t="str">
        <f t="shared" si="39"/>
        <v>OK</v>
      </c>
      <c r="Q496" s="9" t="str">
        <f>INDEX(Crops!$B$2:$B$7,MATCH(D496,Crops!$A$2:$A$7,0))</f>
        <v>Rice</v>
      </c>
      <c r="R496" s="9" t="str">
        <f>INDEX(Districts!$B$2:$B$6,MATCH(C496,Districts!$A$2:$A$6,0))</f>
        <v>Ejura</v>
      </c>
    </row>
    <row r="497" spans="1:18">
      <c r="A497" t="s">
        <v>258</v>
      </c>
      <c r="B497" s="4">
        <v>45902</v>
      </c>
      <c r="C497" t="s">
        <v>49</v>
      </c>
      <c r="D497" t="s">
        <v>41</v>
      </c>
      <c r="E497">
        <v>4.5</v>
      </c>
      <c r="F497">
        <v>34818.400000000001</v>
      </c>
      <c r="G497">
        <v>864.6</v>
      </c>
      <c r="H497">
        <v>33953.800000000003</v>
      </c>
      <c r="I497" t="s">
        <v>67</v>
      </c>
      <c r="J497">
        <v>2.82</v>
      </c>
      <c r="K497">
        <v>5798.14</v>
      </c>
      <c r="L497">
        <f t="shared" si="35"/>
        <v>7737.4222222222224</v>
      </c>
      <c r="M497" s="8">
        <f t="shared" si="36"/>
        <v>2.4831698182570135E-2</v>
      </c>
      <c r="N497" s="10">
        <f t="shared" si="37"/>
        <v>95749.716</v>
      </c>
      <c r="O497" s="10">
        <f t="shared" si="38"/>
        <v>89951.576000000001</v>
      </c>
      <c r="P497" s="9" t="str">
        <f t="shared" si="39"/>
        <v>OK</v>
      </c>
      <c r="Q497" s="9" t="str">
        <f>INDEX(Crops!$B$2:$B$7,MATCH(D497,Crops!$A$2:$A$7,0))</f>
        <v>Cassava</v>
      </c>
      <c r="R497" s="9" t="str">
        <f>INDEX(Districts!$B$2:$B$6,MATCH(C497,Districts!$A$2:$A$6,0))</f>
        <v>Tamale Metro</v>
      </c>
    </row>
    <row r="498" spans="1:18">
      <c r="A498" t="s">
        <v>259</v>
      </c>
      <c r="B498" s="4">
        <v>46144</v>
      </c>
      <c r="C498" t="s">
        <v>45</v>
      </c>
      <c r="D498" t="s">
        <v>31</v>
      </c>
      <c r="E498">
        <v>10.6</v>
      </c>
      <c r="F498">
        <v>15774.9</v>
      </c>
      <c r="G498">
        <v>2519.6</v>
      </c>
      <c r="H498">
        <v>13255.3</v>
      </c>
      <c r="I498" t="s">
        <v>65</v>
      </c>
      <c r="J498">
        <v>3.55</v>
      </c>
      <c r="K498">
        <v>18034.37</v>
      </c>
      <c r="L498">
        <f t="shared" si="35"/>
        <v>1488.1981132075473</v>
      </c>
      <c r="M498" s="8">
        <f t="shared" si="36"/>
        <v>0.15972209015588054</v>
      </c>
      <c r="N498" s="10">
        <f t="shared" si="37"/>
        <v>47056.314999999995</v>
      </c>
      <c r="O498" s="10">
        <f t="shared" si="38"/>
        <v>29021.944999999996</v>
      </c>
      <c r="P498" s="9" t="str">
        <f t="shared" si="39"/>
        <v>OK</v>
      </c>
      <c r="Q498" s="9" t="str">
        <f>INDEX(Crops!$B$2:$B$7,MATCH(D498,Crops!$A$2:$A$7,0))</f>
        <v>Maize</v>
      </c>
      <c r="R498" s="9" t="str">
        <f>INDEX(Districts!$B$2:$B$6,MATCH(C498,Districts!$A$2:$A$6,0))</f>
        <v>Ejura</v>
      </c>
    </row>
    <row r="499" spans="1:18">
      <c r="A499" t="s">
        <v>115</v>
      </c>
      <c r="B499" s="4">
        <v>45939</v>
      </c>
      <c r="C499" t="s">
        <v>47</v>
      </c>
      <c r="D499" t="s">
        <v>33</v>
      </c>
      <c r="E499">
        <v>2</v>
      </c>
      <c r="F499">
        <v>4260.1000000000004</v>
      </c>
      <c r="G499">
        <v>125.1</v>
      </c>
      <c r="H499">
        <v>4135</v>
      </c>
      <c r="I499" t="s">
        <v>70</v>
      </c>
      <c r="J499">
        <v>5.27</v>
      </c>
      <c r="K499">
        <v>3451.76</v>
      </c>
      <c r="L499">
        <f t="shared" si="35"/>
        <v>2130.0500000000002</v>
      </c>
      <c r="M499" s="8">
        <f t="shared" si="36"/>
        <v>2.9365507851928353E-2</v>
      </c>
      <c r="N499" s="10">
        <f t="shared" si="37"/>
        <v>21791.449999999997</v>
      </c>
      <c r="O499" s="10">
        <f t="shared" si="38"/>
        <v>18339.689999999995</v>
      </c>
      <c r="P499" s="9" t="str">
        <f t="shared" si="39"/>
        <v>OK</v>
      </c>
      <c r="Q499" s="9" t="str">
        <f>INDEX(Crops!$B$2:$B$7,MATCH(D499,Crops!$A$2:$A$7,0))</f>
        <v>Rice</v>
      </c>
      <c r="R499" s="9" t="str">
        <f>INDEX(Districts!$B$2:$B$6,MATCH(C499,Districts!$A$2:$A$6,0))</f>
        <v>Techiman</v>
      </c>
    </row>
    <row r="500" spans="1:18">
      <c r="A500" t="s">
        <v>260</v>
      </c>
      <c r="B500" s="4">
        <v>46012</v>
      </c>
      <c r="C500" t="s">
        <v>53</v>
      </c>
      <c r="D500" t="s">
        <v>35</v>
      </c>
      <c r="E500">
        <v>14.2</v>
      </c>
      <c r="F500">
        <v>136418.4</v>
      </c>
      <c r="G500">
        <v>4916.8999999999996</v>
      </c>
      <c r="H500">
        <v>131501.5</v>
      </c>
      <c r="I500" t="s">
        <v>65</v>
      </c>
      <c r="J500">
        <v>6.04</v>
      </c>
      <c r="K500">
        <v>11506.27</v>
      </c>
      <c r="L500">
        <f t="shared" si="35"/>
        <v>9606.929577464789</v>
      </c>
      <c r="M500" s="8">
        <f t="shared" si="36"/>
        <v>3.604279188144708E-2</v>
      </c>
      <c r="N500" s="10">
        <f t="shared" si="37"/>
        <v>794269.06</v>
      </c>
      <c r="O500" s="10">
        <f t="shared" si="38"/>
        <v>782762.79</v>
      </c>
      <c r="P500" s="9" t="str">
        <f t="shared" si="39"/>
        <v>OK</v>
      </c>
      <c r="Q500" s="9" t="str">
        <f>INDEX(Crops!$B$2:$B$7,MATCH(D500,Crops!$A$2:$A$7,0))</f>
        <v>Tomato</v>
      </c>
      <c r="R500" s="9" t="str">
        <f>INDEX(Districts!$B$2:$B$6,MATCH(C500,Districts!$A$2:$A$6,0))</f>
        <v>Hohoe</v>
      </c>
    </row>
    <row r="501" spans="1:18">
      <c r="A501" t="s">
        <v>168</v>
      </c>
      <c r="B501" s="4">
        <v>46102</v>
      </c>
      <c r="C501" t="s">
        <v>45</v>
      </c>
      <c r="D501" t="s">
        <v>31</v>
      </c>
      <c r="E501">
        <v>2.1</v>
      </c>
      <c r="F501">
        <v>4362.7</v>
      </c>
      <c r="G501">
        <v>674.7</v>
      </c>
      <c r="H501">
        <v>3688</v>
      </c>
      <c r="I501" t="s">
        <v>67</v>
      </c>
      <c r="J501">
        <v>3.54</v>
      </c>
      <c r="K501">
        <v>2994.66</v>
      </c>
      <c r="L501">
        <f t="shared" si="35"/>
        <v>2077.4761904761904</v>
      </c>
      <c r="M501" s="8">
        <f t="shared" si="36"/>
        <v>0.15465193572787495</v>
      </c>
      <c r="N501" s="10">
        <f t="shared" si="37"/>
        <v>13055.52</v>
      </c>
      <c r="O501" s="10">
        <f t="shared" si="38"/>
        <v>10060.86</v>
      </c>
      <c r="P501" s="9" t="str">
        <f t="shared" si="39"/>
        <v>OK</v>
      </c>
      <c r="Q501" s="9" t="str">
        <f>INDEX(Crops!$B$2:$B$7,MATCH(D501,Crops!$A$2:$A$7,0))</f>
        <v>Maize</v>
      </c>
      <c r="R501" s="9" t="str">
        <f>INDEX(Districts!$B$2:$B$6,MATCH(C501,Districts!$A$2:$A$6,0))</f>
        <v>Ejura</v>
      </c>
    </row>
  </sheetData>
  <sortState xmlns:xlrd2="http://schemas.microsoft.com/office/spreadsheetml/2017/richdata2" ref="T27:U32">
    <sortCondition descending="1" ref="U27:U32"/>
  </sortState>
  <mergeCells count="2">
    <mergeCell ref="T18:U18"/>
    <mergeCell ref="T26:U2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FBF-656F-43D6-BD12-4ADCFFCE8A6B}">
  <dimension ref="A3:G37"/>
  <sheetViews>
    <sheetView zoomScaleNormal="100" workbookViewId="0">
      <selection activeCell="C12" sqref="C12"/>
    </sheetView>
  </sheetViews>
  <sheetFormatPr defaultRowHeight="14.25"/>
  <cols>
    <col min="1" max="1" width="13.125" bestFit="1" customWidth="1"/>
    <col min="2" max="2" width="25.875" bestFit="1" customWidth="1"/>
    <col min="3" max="3" width="21.875" bestFit="1" customWidth="1"/>
    <col min="4" max="4" width="12.375" bestFit="1" customWidth="1"/>
    <col min="5" max="5" width="13.25" bestFit="1" customWidth="1"/>
    <col min="6" max="7" width="12.375" bestFit="1" customWidth="1"/>
  </cols>
  <sheetData>
    <row r="3" spans="1:3">
      <c r="A3" s="15" t="s">
        <v>283</v>
      </c>
      <c r="B3" t="s">
        <v>285</v>
      </c>
      <c r="C3" t="s">
        <v>286</v>
      </c>
    </row>
    <row r="4" spans="1:3">
      <c r="A4" s="16" t="s">
        <v>36</v>
      </c>
      <c r="B4" s="10">
        <v>34941695.394000001</v>
      </c>
      <c r="C4" s="10">
        <v>35966209.403999977</v>
      </c>
    </row>
    <row r="5" spans="1:3">
      <c r="A5" s="16" t="s">
        <v>38</v>
      </c>
      <c r="B5" s="10">
        <v>22972065.900000002</v>
      </c>
      <c r="C5" s="10">
        <v>23685224.24000001</v>
      </c>
    </row>
    <row r="6" spans="1:3">
      <c r="A6" s="16" t="s">
        <v>34</v>
      </c>
      <c r="B6" s="10">
        <v>8368911.1699999999</v>
      </c>
      <c r="C6" s="10">
        <v>9296537.0100000016</v>
      </c>
    </row>
    <row r="7" spans="1:3">
      <c r="A7" s="16" t="s">
        <v>42</v>
      </c>
      <c r="B7" s="10">
        <v>7574519.4180000033</v>
      </c>
      <c r="C7" s="10">
        <v>8291839.4180000024</v>
      </c>
    </row>
    <row r="8" spans="1:3">
      <c r="A8" s="16" t="s">
        <v>40</v>
      </c>
      <c r="B8" s="10">
        <v>3278962.5390000008</v>
      </c>
      <c r="C8" s="10">
        <v>4099255.5890000006</v>
      </c>
    </row>
    <row r="9" spans="1:3">
      <c r="A9" s="16" t="s">
        <v>32</v>
      </c>
      <c r="B9" s="10">
        <v>2454054.1189999986</v>
      </c>
      <c r="C9" s="10">
        <v>3210206.0589999994</v>
      </c>
    </row>
    <row r="10" spans="1:3">
      <c r="A10" s="16" t="s">
        <v>284</v>
      </c>
      <c r="B10" s="10">
        <v>79590208.540000021</v>
      </c>
      <c r="C10" s="10">
        <v>84549271.719999999</v>
      </c>
    </row>
    <row r="23" spans="1:7">
      <c r="B23" s="20" t="s">
        <v>296</v>
      </c>
      <c r="C23" s="20"/>
      <c r="D23" s="20"/>
      <c r="E23" s="20"/>
      <c r="F23" s="20"/>
    </row>
    <row r="24" spans="1:7">
      <c r="B24" s="20"/>
      <c r="C24" s="20"/>
      <c r="D24" s="20"/>
      <c r="E24" s="20"/>
      <c r="F24" s="20"/>
    </row>
    <row r="26" spans="1:7">
      <c r="B26" s="21" t="s">
        <v>297</v>
      </c>
      <c r="C26" s="21"/>
      <c r="D26" s="21"/>
      <c r="E26" s="21"/>
      <c r="F26" s="21"/>
    </row>
    <row r="27" spans="1:7">
      <c r="B27" s="21"/>
      <c r="C27" s="21"/>
      <c r="D27" s="21"/>
      <c r="E27" s="21"/>
      <c r="F27" s="21"/>
    </row>
    <row r="29" spans="1:7">
      <c r="A29" s="15" t="s">
        <v>285</v>
      </c>
      <c r="B29" s="15" t="s">
        <v>287</v>
      </c>
    </row>
    <row r="30" spans="1:7">
      <c r="A30" s="15" t="s">
        <v>283</v>
      </c>
      <c r="B30" t="s">
        <v>46</v>
      </c>
      <c r="C30" t="s">
        <v>54</v>
      </c>
      <c r="D30" t="s">
        <v>52</v>
      </c>
      <c r="E30" t="s">
        <v>50</v>
      </c>
      <c r="F30" t="s">
        <v>48</v>
      </c>
      <c r="G30" t="s">
        <v>284</v>
      </c>
    </row>
    <row r="31" spans="1:7">
      <c r="A31" s="16" t="s">
        <v>42</v>
      </c>
      <c r="B31" s="10">
        <v>1774028.639</v>
      </c>
      <c r="C31" s="10">
        <v>1677267.115</v>
      </c>
      <c r="D31" s="10">
        <v>1213890.6429999999</v>
      </c>
      <c r="E31" s="10">
        <v>1187733.7769999998</v>
      </c>
      <c r="F31" s="10">
        <v>1721599.2439999999</v>
      </c>
      <c r="G31" s="10">
        <v>7574519.4179999996</v>
      </c>
    </row>
    <row r="32" spans="1:7" ht="14.25" customHeight="1">
      <c r="A32" s="16" t="s">
        <v>32</v>
      </c>
      <c r="B32" s="10">
        <v>555403.72</v>
      </c>
      <c r="C32" s="10">
        <v>628495.44100000011</v>
      </c>
      <c r="D32" s="10">
        <v>419478.07100000005</v>
      </c>
      <c r="E32" s="10">
        <v>507515.03899999999</v>
      </c>
      <c r="F32" s="10">
        <v>343161.848</v>
      </c>
      <c r="G32" s="10">
        <v>2454054.1189999999</v>
      </c>
    </row>
    <row r="33" spans="1:7">
      <c r="A33" s="16" t="s">
        <v>38</v>
      </c>
      <c r="B33" s="10">
        <v>4104242.8800000004</v>
      </c>
      <c r="C33" s="10">
        <v>4831071.8560000006</v>
      </c>
      <c r="D33" s="10">
        <v>5409257.4900000002</v>
      </c>
      <c r="E33" s="10">
        <v>5483754.3459999999</v>
      </c>
      <c r="F33" s="10">
        <v>3143739.3280000007</v>
      </c>
      <c r="G33" s="10">
        <v>22972065.900000002</v>
      </c>
    </row>
    <row r="34" spans="1:7">
      <c r="A34" s="16" t="s">
        <v>34</v>
      </c>
      <c r="B34" s="10">
        <v>1512444.2940000002</v>
      </c>
      <c r="C34" s="10">
        <v>2071210.6510000003</v>
      </c>
      <c r="D34" s="10">
        <v>2435208.162</v>
      </c>
      <c r="E34" s="10">
        <v>1482025.0989999999</v>
      </c>
      <c r="F34" s="10">
        <v>868022.96399999992</v>
      </c>
      <c r="G34" s="10">
        <v>8368911.1699999999</v>
      </c>
    </row>
    <row r="35" spans="1:7">
      <c r="A35" s="16" t="s">
        <v>40</v>
      </c>
      <c r="B35" s="10">
        <v>636142.17700000003</v>
      </c>
      <c r="C35" s="10">
        <v>777595.34300000011</v>
      </c>
      <c r="D35" s="10">
        <v>772065.21300000011</v>
      </c>
      <c r="E35" s="10">
        <v>678657.24100000004</v>
      </c>
      <c r="F35" s="10">
        <v>414502.56500000006</v>
      </c>
      <c r="G35" s="10">
        <v>3278962.5389999999</v>
      </c>
    </row>
    <row r="36" spans="1:7">
      <c r="A36" s="16" t="s">
        <v>36</v>
      </c>
      <c r="B36" s="10">
        <v>7231056.5290000001</v>
      </c>
      <c r="C36" s="10">
        <v>7753969.0759999994</v>
      </c>
      <c r="D36" s="10">
        <v>4047738.338</v>
      </c>
      <c r="E36" s="10">
        <v>9060742.5869999994</v>
      </c>
      <c r="F36" s="10">
        <v>6848188.8640000001</v>
      </c>
      <c r="G36" s="10">
        <v>34941695.394000001</v>
      </c>
    </row>
    <row r="37" spans="1:7">
      <c r="A37" s="16" t="s">
        <v>284</v>
      </c>
      <c r="B37" s="10">
        <v>15813318.239</v>
      </c>
      <c r="C37" s="10">
        <v>17739609.482000001</v>
      </c>
      <c r="D37" s="10">
        <v>14297637.916999999</v>
      </c>
      <c r="E37" s="10">
        <v>18400428.089000002</v>
      </c>
      <c r="F37" s="10">
        <v>13339214.813000001</v>
      </c>
      <c r="G37" s="10">
        <v>79590208.539999992</v>
      </c>
    </row>
  </sheetData>
  <mergeCells count="2">
    <mergeCell ref="B23:F24"/>
    <mergeCell ref="B26:F27"/>
  </mergeCells>
  <conditionalFormatting pivot="1" sqref="B31:G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B31:G36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31:G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Project_Brief</vt:lpstr>
      <vt:lpstr>Crops</vt:lpstr>
      <vt:lpstr>Districts</vt:lpstr>
      <vt:lpstr>Farm_Records_RAW</vt:lpstr>
      <vt:lpstr>Sheet1</vt:lpstr>
      <vt:lpstr>Farm_Records_Cleaned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Acy Khin</cp:lastModifiedBy>
  <dcterms:modified xsi:type="dcterms:W3CDTF">2026-09-22T11:47:14Z</dcterms:modified>
</cp:coreProperties>
</file>