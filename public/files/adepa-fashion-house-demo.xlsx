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1_489E5BCBBEBEFAB4A0EB04A88CFCDA870AE4950D" xr6:coauthVersionLast="47" xr6:coauthVersionMax="47" xr10:uidLastSave="{00000000-0000-0000-0000-000000000000}"/>
  <bookViews>
    <workbookView xWindow="0" yWindow="0" windowWidth="16384" windowHeight="8192" tabRatio="500" activeTab="3" xr2:uid="{00000000-000D-0000-FFFF-FFFF00000000}"/>
  </bookViews>
  <sheets>
    <sheet name="Start Here" sheetId="1" r:id="rId1"/>
    <sheet name="Sales Tracker" sheetId="2" r:id="rId2"/>
    <sheet name="Inventory" sheetId="3" r:id="rId3"/>
    <sheet name="Dashboard" sheetId="4" r:id="rId4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" i="4" l="1"/>
  <c r="D14" i="3"/>
  <c r="F14" i="3"/>
  <c r="G29" i="4"/>
  <c r="F29" i="4"/>
  <c r="E29" i="4"/>
  <c r="D13" i="3"/>
  <c r="F13" i="3"/>
  <c r="G28" i="4"/>
  <c r="F28" i="4"/>
  <c r="E28" i="4"/>
  <c r="D12" i="3"/>
  <c r="F12" i="3"/>
  <c r="G27" i="4"/>
  <c r="F27" i="4"/>
  <c r="E27" i="4"/>
  <c r="D11" i="3"/>
  <c r="F11" i="3"/>
  <c r="G26" i="4"/>
  <c r="F26" i="4"/>
  <c r="E26" i="4"/>
  <c r="D10" i="3"/>
  <c r="F10" i="3"/>
  <c r="G25" i="4"/>
  <c r="F25" i="4"/>
  <c r="E25" i="4"/>
  <c r="D9" i="3"/>
  <c r="F9" i="3"/>
  <c r="G24" i="4"/>
  <c r="F24" i="4"/>
  <c r="E24" i="4"/>
  <c r="D8" i="3"/>
  <c r="F8" i="3"/>
  <c r="G23" i="4"/>
  <c r="F23" i="4"/>
  <c r="E23" i="4"/>
  <c r="D7" i="3"/>
  <c r="F7" i="3"/>
  <c r="G22" i="4"/>
  <c r="F22" i="4"/>
  <c r="E22" i="4"/>
  <c r="F9" i="2"/>
  <c r="F16" i="2"/>
  <c r="F19" i="2"/>
  <c r="F28" i="2"/>
  <c r="F5" i="2"/>
  <c r="F6" i="2"/>
  <c r="F7" i="2"/>
  <c r="F8" i="2"/>
  <c r="F10" i="2"/>
  <c r="F11" i="2"/>
  <c r="F12" i="2"/>
  <c r="F13" i="2"/>
  <c r="F14" i="2"/>
  <c r="F15" i="2"/>
  <c r="F17" i="2"/>
  <c r="F18" i="2"/>
  <c r="F20" i="2"/>
  <c r="F21" i="2"/>
  <c r="F22" i="2"/>
  <c r="F23" i="2"/>
  <c r="F24" i="2"/>
  <c r="F25" i="2"/>
  <c r="F26" i="2"/>
  <c r="F27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B22" i="4"/>
  <c r="D6" i="3"/>
  <c r="F6" i="3"/>
  <c r="G21" i="4"/>
  <c r="F21" i="4"/>
  <c r="E21" i="4"/>
  <c r="B21" i="4"/>
  <c r="D5" i="3"/>
  <c r="F5" i="3"/>
  <c r="G20" i="4"/>
  <c r="F20" i="4"/>
  <c r="E20" i="4"/>
  <c r="B20" i="4"/>
  <c r="J19" i="4"/>
  <c r="J18" i="4"/>
  <c r="J17" i="4"/>
  <c r="J16" i="4"/>
  <c r="J15" i="4"/>
  <c r="J10" i="4"/>
  <c r="J11" i="4"/>
  <c r="J12" i="4"/>
  <c r="J13" i="4"/>
  <c r="J14" i="4"/>
  <c r="F15" i="4"/>
  <c r="E15" i="4"/>
  <c r="G15" i="4"/>
  <c r="F14" i="4"/>
  <c r="E14" i="4"/>
  <c r="G14" i="4"/>
  <c r="F13" i="4"/>
  <c r="E13" i="4"/>
  <c r="G13" i="4"/>
  <c r="F12" i="4"/>
  <c r="E12" i="4"/>
  <c r="G12" i="4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C12" i="4"/>
  <c r="B12" i="4"/>
  <c r="F11" i="4"/>
  <c r="E11" i="4"/>
  <c r="G11" i="4"/>
  <c r="C11" i="4"/>
  <c r="B11" i="4"/>
  <c r="D5" i="4"/>
  <c r="A5" i="4"/>
  <c r="G5" i="4"/>
</calcChain>
</file>

<file path=xl/sharedStrings.xml><?xml version="1.0" encoding="utf-8"?>
<sst xmlns="http://schemas.openxmlformats.org/spreadsheetml/2006/main" count="316" uniqueCount="65">
  <si>
    <t>Adepa Fashion House</t>
  </si>
  <si>
    <t>Sales, Inventory &amp; Performance Tracker  —  Demo Template</t>
  </si>
  <si>
    <t>HOW THIS TEMPLATE WORKS</t>
  </si>
  <si>
    <t>1. Sales Tracker tab</t>
  </si>
  <si>
    <t>Record every sale here — one row per item sold. This is the ONLY tab you type new sales into.</t>
  </si>
  <si>
    <t>2. Inventory tab</t>
  </si>
  <si>
    <t>Track stock in/out per item. Any item below its reorder level turns RED automatically — no manual checking needed.</t>
  </si>
  <si>
    <t>3. Dashboard tab</t>
  </si>
  <si>
    <t>Everything here updates on its own from the two tabs above. Nothing to edit — just look and decide.</t>
  </si>
  <si>
    <t>Why this matters</t>
  </si>
  <si>
    <t>Separating Cash, MoMo and Bank Transfer sales shows you exactly where your money really is — most shop owners are surprised by this the first time they see it.</t>
  </si>
  <si>
    <t>Tip: duplicate this whole workbook for each new client, then just replace the sample rows with their real data.</t>
  </si>
  <si>
    <t>DAILY SALES &amp; MOMO TRACKER</t>
  </si>
  <si>
    <t>Enter one row per sale. Total Revenue and Profit calculate automatically.</t>
  </si>
  <si>
    <t>Date</t>
  </si>
  <si>
    <t>Item Name</t>
  </si>
  <si>
    <t>Category</t>
  </si>
  <si>
    <t>Quantity Sold</t>
  </si>
  <si>
    <t>Unit Price (GHS)</t>
  </si>
  <si>
    <t>Total Revenue (GHS)</t>
  </si>
  <si>
    <t>Payment Method</t>
  </si>
  <si>
    <t>Cost of Goods Sold (GHS)</t>
  </si>
  <si>
    <t>Profit (GHS)</t>
  </si>
  <si>
    <t>Month</t>
  </si>
  <si>
    <t>Kids Ankara Outfit</t>
  </si>
  <si>
    <t>Kids Wear</t>
  </si>
  <si>
    <t>MoMo</t>
  </si>
  <si>
    <t>Ankara Dress</t>
  </si>
  <si>
    <t>Dresses</t>
  </si>
  <si>
    <t>Men's Trousers</t>
  </si>
  <si>
    <t>Trousers</t>
  </si>
  <si>
    <t>Cash</t>
  </si>
  <si>
    <t>Men's Shirt</t>
  </si>
  <si>
    <t>Shirts</t>
  </si>
  <si>
    <t>Bank Transfer</t>
  </si>
  <si>
    <t>Smock (Fugu)</t>
  </si>
  <si>
    <t>Traditional Wear</t>
  </si>
  <si>
    <t>Silk Scarf</t>
  </si>
  <si>
    <t>Accessories</t>
  </si>
  <si>
    <t>Kaba &amp; Slit Set</t>
  </si>
  <si>
    <t>Ladies Handbag</t>
  </si>
  <si>
    <t>Leather Sandals</t>
  </si>
  <si>
    <t>Denim Jeans</t>
  </si>
  <si>
    <t>INVENTORY ALERT SYSTEM</t>
  </si>
  <si>
    <t>Rows turn RED automatically when Current Stock drops below Reorder Level.</t>
  </si>
  <si>
    <t>Stock In</t>
  </si>
  <si>
    <t>Stock Out</t>
  </si>
  <si>
    <t>Current Stock</t>
  </si>
  <si>
    <t>Reorder Level</t>
  </si>
  <si>
    <t>Status</t>
  </si>
  <si>
    <t>ADEPA FASHION HOUSE — PERFORMANCE DASHBOARD</t>
  </si>
  <si>
    <t>Updates automatically from Sales Tracker and Inventory tabs.</t>
  </si>
  <si>
    <t>TOTAL REVENUE</t>
  </si>
  <si>
    <t>TOTAL PROFIT</t>
  </si>
  <si>
    <t>TOTAL COGS</t>
  </si>
  <si>
    <t>PROFIT MARGIN</t>
  </si>
  <si>
    <t>MONTHLY REVENUE VS PROFIT</t>
  </si>
  <si>
    <t>TOP 5 BEST-SELLING ITEMS (BY QTY)</t>
  </si>
  <si>
    <t>helper (qty by item)</t>
  </si>
  <si>
    <t>Revenue (GHS)</t>
  </si>
  <si>
    <t>Qty Sold</t>
  </si>
  <si>
    <t>May 2026</t>
  </si>
  <si>
    <t>Jun 2026</t>
  </si>
  <si>
    <t>PAYMENT METHOD SPLIT</t>
  </si>
  <si>
    <t>ITEMS NEEDING RESTOCK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</si>
</sst>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&quot; GHS&quot;"/>
    <numFmt numFmtId="166" formatCode="0.0%"/>
  </numFmts>
  <fonts count="13" x14ac:knownFonts="1">
    <font>
      <sz val="11"/>
      <color theme="1"/>
      <name val="Calibri"/>
      <family val="2"/>
      <charset val="1"/>
    </font>
    <font>
      <b/>
      <sz val="24"/>
      <color rgb="FF1F2A44"/>
      <name val="Calibri"/>
      <charset val="1"/>
    </font>
    <font>
      <i/>
      <sz val="10"/>
      <color rgb="FF595959"/>
      <name val="Calibri"/>
      <charset val="1"/>
    </font>
    <font>
      <b/>
      <sz val="12"/>
      <color rgb="FFFFFFFF"/>
      <name val="Calibri"/>
      <charset val="1"/>
    </font>
    <font>
      <b/>
      <sz val="12"/>
      <color rgb="FF1F2A44"/>
      <name val="Calibri"/>
      <charset val="1"/>
    </font>
    <font>
      <sz val="11"/>
      <color rgb="FF333333"/>
      <name val="Calibri"/>
      <charset val="1"/>
    </font>
    <font>
      <b/>
      <sz val="16"/>
      <color rgb="FF1F2A44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0"/>
      <color rgb="FFFFFFFF"/>
      <name val="Calibri"/>
      <charset val="1"/>
    </font>
    <font>
      <b/>
      <sz val="18"/>
      <color rgb="FFFFFFFF"/>
      <name val="Calibri"/>
      <charset val="1"/>
    </font>
    <font>
      <i/>
      <sz val="8"/>
      <color rgb="FF595959"/>
      <name val="Cambria"/>
      <charset val="1"/>
    </font>
    <font>
      <b/>
      <sz val="10"/>
      <color rgb="FFC0392B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C9A227"/>
        <bgColor rgb="FF9BBB59"/>
      </patternFill>
    </fill>
    <fill>
      <patternFill patternType="solid">
        <fgColor rgb="FF1F2A4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C0392B"/>
        <bgColor rgb="FFC0504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65" fontId="8" fillId="0" borderId="1" xfId="0" applyNumberFormat="1" applyFont="1" applyBorder="1"/>
    <xf numFmtId="164" fontId="8" fillId="4" borderId="1" xfId="0" applyNumberFormat="1" applyFont="1" applyFill="1" applyBorder="1" applyAlignment="1">
      <alignment horizontal="center"/>
    </xf>
    <xf numFmtId="0" fontId="8" fillId="4" borderId="1" xfId="0" applyFont="1" applyFill="1" applyBorder="1"/>
    <xf numFmtId="0" fontId="8" fillId="4" borderId="1" xfId="0" applyFont="1" applyFill="1" applyBorder="1" applyAlignment="1">
      <alignment horizontal="center"/>
    </xf>
    <xf numFmtId="165" fontId="8" fillId="4" borderId="1" xfId="0" applyNumberFormat="1" applyFont="1" applyFill="1" applyBorder="1"/>
    <xf numFmtId="0" fontId="11" fillId="0" borderId="0" xfId="0" applyFont="1"/>
    <xf numFmtId="0" fontId="0" fillId="0" borderId="0" xfId="0" applyFont="1"/>
    <xf numFmtId="3" fontId="8" fillId="0" borderId="1" xfId="0" applyNumberFormat="1" applyFont="1" applyBorder="1"/>
    <xf numFmtId="0" fontId="8" fillId="0" borderId="1" xfId="0" applyFont="1" applyBorder="1" applyAlignment="1">
      <alignment horizontal="left"/>
    </xf>
    <xf numFmtId="3" fontId="8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6" fillId="0" borderId="0" xfId="0" applyFont="1" applyBorder="1"/>
    <xf numFmtId="0" fontId="2" fillId="0" borderId="0" xfId="0" applyFont="1" applyBorder="1"/>
    <xf numFmtId="0" fontId="3" fillId="2" borderId="0" xfId="0" applyFont="1" applyFill="1" applyBorder="1"/>
    <xf numFmtId="0" fontId="3" fillId="5" borderId="0" xfId="0" applyFont="1" applyFill="1" applyBorder="1"/>
    <xf numFmtId="0" fontId="10" fillId="3" borderId="0" xfId="0" applyFont="1" applyFill="1" applyBorder="1" applyAlignment="1">
      <alignment horizontal="center" vertical="center"/>
    </xf>
    <xf numFmtId="166" fontId="10" fillId="3" borderId="0" xfId="0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D5F5E3"/>
        </patternFill>
      </fill>
    </dxf>
    <dxf>
      <font>
        <b/>
        <color rgb="FF7B241C"/>
        <name val="Calibri"/>
        <charset val="1"/>
      </font>
      <fill>
        <patternFill>
          <bgColor rgb="FFF5B7B1"/>
        </patternFill>
      </fill>
    </dxf>
    <dxf>
      <fill>
        <patternFill>
          <bgColor rgb="FFFBF3D9"/>
        </patternFill>
      </fill>
    </dxf>
    <dxf>
      <fill>
        <patternFill>
          <bgColor rgb="FFD5F5E3"/>
        </patternFill>
      </fill>
    </dxf>
    <dxf>
      <fill>
        <patternFill>
          <bgColor rgb="FFD6EAF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392B"/>
      <rgbColor rgb="FFFBF3D9"/>
      <rgbColor rgb="FFD6EA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5F5E3"/>
      <rgbColor rgb="FFF9F9F9"/>
      <rgbColor rgb="FF99CCFF"/>
      <rgbColor rgb="FFFF99CC"/>
      <rgbColor rgb="FFCC99FF"/>
      <rgbColor rgb="FFF5B7B1"/>
      <rgbColor rgb="FF4F81BD"/>
      <rgbColor rgb="FF33CCCC"/>
      <rgbColor rgb="FF9BBB59"/>
      <rgbColor rgb="FFFFCC00"/>
      <rgbColor rgb="FFC9A227"/>
      <rgbColor rgb="FFFF6600"/>
      <rgbColor rgb="FF595959"/>
      <rgbColor rgb="FF969696"/>
      <rgbColor rgb="FF1F2A44"/>
      <rgbColor rgb="FF339966"/>
      <rgbColor rgb="FF003300"/>
      <rgbColor rgb="FF333300"/>
      <rgbColor rgb="FF7B241C"/>
      <rgbColor rgb="FFC0504D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vs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Revenue (GHS)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Dashboard!$A$11:$A$12</c:f>
              <c:strCache>
                <c:ptCount val="2"/>
                <c:pt idx="0">
                  <c:v>May 2026</c:v>
                </c:pt>
                <c:pt idx="1">
                  <c:v>Jun 2026</c:v>
                </c:pt>
              </c:strCache>
            </c:strRef>
          </c:cat>
          <c:val>
            <c:numRef>
              <c:f>Dashboard!$B$11:$B$12</c:f>
              <c:numCache>
                <c:formatCode>#,##0</c:formatCode>
                <c:ptCount val="2"/>
                <c:pt idx="0">
                  <c:v>14090</c:v>
                </c:pt>
                <c:pt idx="1">
                  <c:v>13270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7-7F4E-8423-81831B011FB5}"/>
            </c:ext>
          </c:extLst>
        </c:ser>
        <c:ser>
          <c:idx val="1"/>
          <c:order val="1"/>
          <c:tx>
            <c:strRef>
              <c:f>Dashboard!C10</c:f>
              <c:strCache>
                <c:ptCount val="1"/>
                <c:pt idx="0">
                  <c:v>Profit (GHS)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Dashboard!$A$11:$A$12</c:f>
              <c:strCache>
                <c:ptCount val="2"/>
                <c:pt idx="0">
                  <c:v>May 2026</c:v>
                </c:pt>
                <c:pt idx="1">
                  <c:v>Jun 2026</c:v>
                </c:pt>
              </c:strCache>
            </c:strRef>
          </c:cat>
          <c:val>
            <c:numRef>
              <c:f>Dashboard!$C$11:$C$12</c:f>
              <c:numCache>
                <c:formatCode>#,##0</c:formatCode>
                <c:ptCount val="2"/>
                <c:pt idx="0">
                  <c:v>6315</c:v>
                </c:pt>
                <c:pt idx="1">
                  <c:v>5945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07-7F4E-8423-81831B011F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8905731"/>
        <c:axId val="91513857"/>
      </c:barChart>
      <c:catAx>
        <c:axId val="989057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513857"/>
        <c:crosses val="autoZero"/>
        <c:auto val="1"/>
        <c:lblAlgn val="ctr"/>
        <c:lblOffset val="100"/>
        <c:noMultiLvlLbl val="0"/>
      </c:catAx>
      <c:valAx>
        <c:axId val="915138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89057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5 Best-Selling Items (Qty Sold)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Dashboard!F10</c:f>
              <c:strCache>
                <c:ptCount val="1"/>
                <c:pt idx="0">
                  <c:v>Qty Sold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Dashboard!$E$11:$E$15</c:f>
              <c:strCache>
                <c:ptCount val="5"/>
                <c:pt idx="0">
                  <c:v>Ankara Dress</c:v>
                </c:pt>
                <c:pt idx="1">
                  <c:v>Silk Scarf</c:v>
                </c:pt>
                <c:pt idx="2">
                  <c:v>Men's Trousers</c:v>
                </c:pt>
                <c:pt idx="3">
                  <c:v>Kids Ankara Outfit</c:v>
                </c:pt>
                <c:pt idx="4">
                  <c:v>Kaba &amp; Slit Set</c:v>
                </c:pt>
              </c:strCache>
            </c:strRef>
          </c:cat>
          <c:val>
            <c:numRef>
              <c:f>Dashboard!$F$11:$F$15</c:f>
              <c:numCache>
                <c:formatCode>General</c:formatCode>
                <c:ptCount val="5"/>
                <c:pt idx="0">
                  <c:v>28</c:v>
                </c:pt>
                <c:pt idx="1">
                  <c:v>27</c:v>
                </c:pt>
                <c:pt idx="2">
                  <c:v>23</c:v>
                </c:pt>
                <c:pt idx="3">
                  <c:v>21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D-8149-9687-47B1E36B1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206369"/>
        <c:axId val="37573946"/>
      </c:barChart>
      <c:catAx>
        <c:axId val="7720636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573946"/>
        <c:crosses val="autoZero"/>
        <c:auto val="1"/>
        <c:lblAlgn val="ctr"/>
        <c:lblOffset val="100"/>
        <c:noMultiLvlLbl val="0"/>
      </c:catAx>
      <c:valAx>
        <c:axId val="3757394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2063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Payment Method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Dashboard!B19</c:f>
              <c:strCache>
                <c:ptCount val="1"/>
                <c:pt idx="0">
                  <c:v>Total Revenue (GHS)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Dashboard!$A$20:$A$22</c:f>
              <c:strCache>
                <c:ptCount val="3"/>
                <c:pt idx="0">
                  <c:v>Cash</c:v>
                </c:pt>
                <c:pt idx="1">
                  <c:v>MoMo</c:v>
                </c:pt>
                <c:pt idx="2">
                  <c:v>Bank Transfer</c:v>
                </c:pt>
              </c:strCache>
            </c:strRef>
          </c:cat>
          <c:val>
            <c:numRef>
              <c:f>Dashboard!$B$20:$B$22</c:f>
              <c:numCache>
                <c:formatCode>#,##0</c:formatCode>
                <c:ptCount val="3"/>
                <c:pt idx="0">
                  <c:v>9400</c:v>
                </c:pt>
                <c:pt idx="1">
                  <c:v>10820</c:v>
                </c:pt>
                <c:pt idx="2">
                  <c:v>7140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46-B541-8497-E6D22B8DE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24</xdr:row>
      <xdr:rowOff>151920</xdr:rowOff>
    </xdr:from>
    <xdr:to>
      <xdr:col>5</xdr:col>
      <xdr:colOff>473400</xdr:colOff>
      <xdr:row>39</xdr:row>
      <xdr:rowOff>173880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24</xdr:row>
      <xdr:rowOff>151920</xdr:rowOff>
    </xdr:from>
    <xdr:to>
      <xdr:col>14</xdr:col>
      <xdr:colOff>307440</xdr:colOff>
      <xdr:row>39</xdr:row>
      <xdr:rowOff>173880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41</xdr:row>
      <xdr:rowOff>151920</xdr:rowOff>
    </xdr:from>
    <xdr:to>
      <xdr:col>4</xdr:col>
      <xdr:colOff>302040</xdr:colOff>
      <xdr:row>56</xdr:row>
      <xdr:rowOff>173880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2A44"/>
  </sheetPr>
  <dimension ref="B2:B20"/>
  <sheetViews>
    <sheetView showGridLines="0" topLeftCell="B1" zoomScaleNormal="100" workbookViewId="0">
      <selection activeCell="B23" sqref="B23"/>
    </sheetView>
  </sheetViews>
  <sheetFormatPr defaultColWidth="8.7421875" defaultRowHeight="15" x14ac:dyDescent="0.2"/>
  <cols>
    <col min="1" max="1" width="2.95703125" customWidth="1"/>
    <col min="2" max="2" width="94.97265625" customWidth="1"/>
  </cols>
  <sheetData>
    <row r="2" spans="2:2" ht="31.5" x14ac:dyDescent="0.45">
      <c r="B2" s="1" t="s">
        <v>0</v>
      </c>
    </row>
    <row r="3" spans="2:2" x14ac:dyDescent="0.2">
      <c r="B3" s="2" t="s">
        <v>1</v>
      </c>
    </row>
    <row r="5" spans="2:2" ht="21.75" customHeight="1" x14ac:dyDescent="0.2">
      <c r="B5" s="3" t="s">
        <v>2</v>
      </c>
    </row>
    <row r="7" spans="2:2" x14ac:dyDescent="0.2">
      <c r="B7" s="4" t="s">
        <v>3</v>
      </c>
    </row>
    <row r="8" spans="2:2" ht="31.5" customHeight="1" x14ac:dyDescent="0.2">
      <c r="B8" s="5" t="s">
        <v>4</v>
      </c>
    </row>
    <row r="10" spans="2:2" x14ac:dyDescent="0.2">
      <c r="B10" s="4" t="s">
        <v>5</v>
      </c>
    </row>
    <row r="11" spans="2:2" ht="31.5" customHeight="1" x14ac:dyDescent="0.2">
      <c r="B11" s="5" t="s">
        <v>6</v>
      </c>
    </row>
    <row r="13" spans="2:2" x14ac:dyDescent="0.2">
      <c r="B13" s="4" t="s">
        <v>7</v>
      </c>
    </row>
    <row r="14" spans="2:2" ht="31.5" customHeight="1" x14ac:dyDescent="0.2">
      <c r="B14" s="5" t="s">
        <v>8</v>
      </c>
    </row>
    <row r="16" spans="2:2" x14ac:dyDescent="0.2">
      <c r="B16" s="4" t="s">
        <v>9</v>
      </c>
    </row>
    <row r="17" spans="2:2" ht="31.5" customHeight="1" x14ac:dyDescent="0.2">
      <c r="B17" s="5" t="s">
        <v>10</v>
      </c>
    </row>
    <row r="20" spans="2:2" x14ac:dyDescent="0.2">
      <c r="B20" s="2" t="s">
        <v>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A227"/>
  </sheetPr>
  <dimension ref="A1:J83"/>
  <sheetViews>
    <sheetView showGridLines="0" zoomScaleNormal="100" workbookViewId="0">
      <pane ySplit="4" topLeftCell="A47" activePane="bottomLeft" state="frozen"/>
      <selection pane="bottomLeft"/>
    </sheetView>
  </sheetViews>
  <sheetFormatPr defaultColWidth="8.7421875" defaultRowHeight="15" x14ac:dyDescent="0.2"/>
  <cols>
    <col min="1" max="1" width="13.046875" customWidth="1"/>
    <col min="2" max="2" width="20.04296875" customWidth="1"/>
    <col min="3" max="3" width="16.94921875" customWidth="1"/>
    <col min="4" max="4" width="13.046875" customWidth="1"/>
    <col min="5" max="5" width="14.9296875" customWidth="1"/>
    <col min="6" max="6" width="16.0078125" customWidth="1"/>
    <col min="7" max="7" width="14.9296875" customWidth="1"/>
    <col min="8" max="8" width="20.04296875" customWidth="1"/>
    <col min="9" max="9" width="13.98828125" customWidth="1"/>
    <col min="10" max="10" width="11.97265625" customWidth="1"/>
  </cols>
  <sheetData>
    <row r="1" spans="1:10" ht="21" x14ac:dyDescent="0.3">
      <c r="A1" s="22" t="s">
        <v>12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">
      <c r="A2" s="23" t="s">
        <v>13</v>
      </c>
      <c r="B2" s="23"/>
      <c r="C2" s="23"/>
      <c r="D2" s="23"/>
      <c r="E2" s="23"/>
      <c r="F2" s="23"/>
      <c r="G2" s="23"/>
      <c r="H2" s="23"/>
      <c r="I2" s="23"/>
      <c r="J2" s="23"/>
    </row>
    <row r="4" spans="1:10" ht="30" customHeight="1" x14ac:dyDescent="0.2">
      <c r="A4" s="6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</row>
    <row r="5" spans="1:10" x14ac:dyDescent="0.2">
      <c r="A5" s="7">
        <v>46143</v>
      </c>
      <c r="B5" s="8" t="s">
        <v>24</v>
      </c>
      <c r="C5" s="8" t="s">
        <v>25</v>
      </c>
      <c r="D5" s="9">
        <v>1</v>
      </c>
      <c r="E5" s="10">
        <v>100</v>
      </c>
      <c r="F5" s="10">
        <f>D5*E5</f>
        <v>100</v>
      </c>
      <c r="G5" s="9" t="s">
        <v>26</v>
      </c>
      <c r="H5" s="10">
        <v>55</v>
      </c>
      <c r="I5" s="10">
        <f>F5-H5</f>
        <v>45</v>
      </c>
      <c r="J5" s="9" t="str">
        <f>TEXT(A5,"mmm yyyy")</f>
        <v>May 2026</v>
      </c>
    </row>
    <row r="6" spans="1:10" x14ac:dyDescent="0.2">
      <c r="A6" s="11">
        <v>46146</v>
      </c>
      <c r="B6" s="12" t="s">
        <v>27</v>
      </c>
      <c r="C6" s="12" t="s">
        <v>28</v>
      </c>
      <c r="D6" s="13">
        <v>1</v>
      </c>
      <c r="E6" s="14">
        <v>180</v>
      </c>
      <c r="F6" s="14">
        <f>D6*E6</f>
        <v>180</v>
      </c>
      <c r="G6" s="13" t="s">
        <v>26</v>
      </c>
      <c r="H6" s="14">
        <v>100</v>
      </c>
      <c r="I6" s="14">
        <f>F6-H6</f>
        <v>80</v>
      </c>
      <c r="J6" s="13" t="str">
        <f>TEXT(A6,"mmm yyyy")</f>
        <v>May 2026</v>
      </c>
    </row>
    <row r="7" spans="1:10" x14ac:dyDescent="0.2">
      <c r="A7" s="7">
        <v>46146</v>
      </c>
      <c r="B7" s="8" t="s">
        <v>29</v>
      </c>
      <c r="C7" s="8" t="s">
        <v>30</v>
      </c>
      <c r="D7" s="9">
        <v>1</v>
      </c>
      <c r="E7" s="10">
        <v>120</v>
      </c>
      <c r="F7" s="10">
        <f>D7*E7</f>
        <v>120</v>
      </c>
      <c r="G7" s="9" t="s">
        <v>31</v>
      </c>
      <c r="H7" s="10">
        <v>70</v>
      </c>
      <c r="I7" s="10">
        <f>F7-H7</f>
        <v>50</v>
      </c>
      <c r="J7" s="9" t="str">
        <f>TEXT(A7,"mmm yyyy")</f>
        <v>May 2026</v>
      </c>
    </row>
    <row r="8" spans="1:10" x14ac:dyDescent="0.2">
      <c r="A8" s="11">
        <v>46146</v>
      </c>
      <c r="B8" s="12" t="s">
        <v>32</v>
      </c>
      <c r="C8" s="12" t="s">
        <v>33</v>
      </c>
      <c r="D8" s="13">
        <v>3</v>
      </c>
      <c r="E8" s="14">
        <v>90</v>
      </c>
      <c r="F8" s="14">
        <f>D8*E8</f>
        <v>270</v>
      </c>
      <c r="G8" s="13" t="s">
        <v>31</v>
      </c>
      <c r="H8" s="14">
        <v>150</v>
      </c>
      <c r="I8" s="14">
        <f>F8-H8</f>
        <v>120</v>
      </c>
      <c r="J8" s="13" t="str">
        <f>TEXT(A8,"mmm yyyy")</f>
        <v>May 2026</v>
      </c>
    </row>
    <row r="9" spans="1:10" x14ac:dyDescent="0.2">
      <c r="A9" s="7">
        <v>46147</v>
      </c>
      <c r="B9" s="8" t="s">
        <v>29</v>
      </c>
      <c r="C9" s="8" t="s">
        <v>30</v>
      </c>
      <c r="D9" s="9">
        <v>4</v>
      </c>
      <c r="E9" s="10">
        <v>120</v>
      </c>
      <c r="F9" s="10">
        <f>D9*E9</f>
        <v>480</v>
      </c>
      <c r="G9" s="9" t="s">
        <v>34</v>
      </c>
      <c r="H9" s="10">
        <v>280</v>
      </c>
      <c r="I9" s="10">
        <f>F9-H9</f>
        <v>200</v>
      </c>
      <c r="J9" s="9" t="str">
        <f>TEXT(A9,"mmm yyyy")</f>
        <v>May 2026</v>
      </c>
    </row>
    <row r="10" spans="1:10" x14ac:dyDescent="0.2">
      <c r="A10" s="11">
        <v>46147</v>
      </c>
      <c r="B10" s="12" t="s">
        <v>35</v>
      </c>
      <c r="C10" s="12" t="s">
        <v>36</v>
      </c>
      <c r="D10" s="13">
        <v>2</v>
      </c>
      <c r="E10" s="14">
        <v>250</v>
      </c>
      <c r="F10" s="14">
        <f>D10*E10</f>
        <v>500</v>
      </c>
      <c r="G10" s="13" t="s">
        <v>26</v>
      </c>
      <c r="H10" s="14">
        <v>280</v>
      </c>
      <c r="I10" s="14">
        <f>F10-H10</f>
        <v>220</v>
      </c>
      <c r="J10" s="13" t="str">
        <f>TEXT(A10,"mmm yyyy")</f>
        <v>May 2026</v>
      </c>
    </row>
    <row r="11" spans="1:10" x14ac:dyDescent="0.2">
      <c r="A11" s="7">
        <v>46147</v>
      </c>
      <c r="B11" s="8" t="s">
        <v>37</v>
      </c>
      <c r="C11" s="8" t="s">
        <v>38</v>
      </c>
      <c r="D11" s="9">
        <v>3</v>
      </c>
      <c r="E11" s="10">
        <v>60</v>
      </c>
      <c r="F11" s="10">
        <f>D11*E11</f>
        <v>180</v>
      </c>
      <c r="G11" s="9" t="s">
        <v>26</v>
      </c>
      <c r="H11" s="10">
        <v>75</v>
      </c>
      <c r="I11" s="10">
        <f>F11-H11</f>
        <v>105</v>
      </c>
      <c r="J11" s="9" t="str">
        <f>TEXT(A11,"mmm yyyy")</f>
        <v>May 2026</v>
      </c>
    </row>
    <row r="12" spans="1:10" x14ac:dyDescent="0.2">
      <c r="A12" s="11">
        <v>46148</v>
      </c>
      <c r="B12" s="12" t="s">
        <v>39</v>
      </c>
      <c r="C12" s="12" t="s">
        <v>36</v>
      </c>
      <c r="D12" s="13">
        <v>4</v>
      </c>
      <c r="E12" s="14">
        <v>350</v>
      </c>
      <c r="F12" s="14">
        <f>D12*E12</f>
        <v>1400</v>
      </c>
      <c r="G12" s="13" t="s">
        <v>31</v>
      </c>
      <c r="H12" s="14">
        <v>800</v>
      </c>
      <c r="I12" s="14">
        <f>F12-H12</f>
        <v>600</v>
      </c>
      <c r="J12" s="13" t="str">
        <f>TEXT(A12,"mmm yyyy")</f>
        <v>May 2026</v>
      </c>
    </row>
    <row r="13" spans="1:10" x14ac:dyDescent="0.2">
      <c r="A13" s="7">
        <v>46149</v>
      </c>
      <c r="B13" s="8" t="s">
        <v>29</v>
      </c>
      <c r="C13" s="8" t="s">
        <v>30</v>
      </c>
      <c r="D13" s="9">
        <v>2</v>
      </c>
      <c r="E13" s="10">
        <v>120</v>
      </c>
      <c r="F13" s="10">
        <f>D13*E13</f>
        <v>240</v>
      </c>
      <c r="G13" s="9" t="s">
        <v>26</v>
      </c>
      <c r="H13" s="10">
        <v>140</v>
      </c>
      <c r="I13" s="10">
        <f>F13-H13</f>
        <v>100</v>
      </c>
      <c r="J13" s="9" t="str">
        <f>TEXT(A13,"mmm yyyy")</f>
        <v>May 2026</v>
      </c>
    </row>
    <row r="14" spans="1:10" x14ac:dyDescent="0.2">
      <c r="A14" s="11">
        <v>46152</v>
      </c>
      <c r="B14" s="12" t="s">
        <v>37</v>
      </c>
      <c r="C14" s="12" t="s">
        <v>38</v>
      </c>
      <c r="D14" s="13">
        <v>3</v>
      </c>
      <c r="E14" s="14">
        <v>60</v>
      </c>
      <c r="F14" s="14">
        <f>D14*E14</f>
        <v>180</v>
      </c>
      <c r="G14" s="13" t="s">
        <v>26</v>
      </c>
      <c r="H14" s="14">
        <v>75</v>
      </c>
      <c r="I14" s="14">
        <f>F14-H14</f>
        <v>105</v>
      </c>
      <c r="J14" s="13" t="str">
        <f>TEXT(A14,"mmm yyyy")</f>
        <v>May 2026</v>
      </c>
    </row>
    <row r="15" spans="1:10" x14ac:dyDescent="0.2">
      <c r="A15" s="7">
        <v>46152</v>
      </c>
      <c r="B15" s="8" t="s">
        <v>40</v>
      </c>
      <c r="C15" s="8" t="s">
        <v>38</v>
      </c>
      <c r="D15" s="9">
        <v>1</v>
      </c>
      <c r="E15" s="10">
        <v>150</v>
      </c>
      <c r="F15" s="10">
        <f>D15*E15</f>
        <v>150</v>
      </c>
      <c r="G15" s="9" t="s">
        <v>31</v>
      </c>
      <c r="H15" s="10">
        <v>80</v>
      </c>
      <c r="I15" s="10">
        <f>F15-H15</f>
        <v>70</v>
      </c>
      <c r="J15" s="9" t="str">
        <f>TEXT(A15,"mmm yyyy")</f>
        <v>May 2026</v>
      </c>
    </row>
    <row r="16" spans="1:10" x14ac:dyDescent="0.2">
      <c r="A16" s="11">
        <v>46152</v>
      </c>
      <c r="B16" s="12" t="s">
        <v>24</v>
      </c>
      <c r="C16" s="12" t="s">
        <v>25</v>
      </c>
      <c r="D16" s="13">
        <v>1</v>
      </c>
      <c r="E16" s="14">
        <v>100</v>
      </c>
      <c r="F16" s="14">
        <f>D16*E16</f>
        <v>100</v>
      </c>
      <c r="G16" s="13" t="s">
        <v>34</v>
      </c>
      <c r="H16" s="14">
        <v>55</v>
      </c>
      <c r="I16" s="14">
        <f>F16-H16</f>
        <v>45</v>
      </c>
      <c r="J16" s="13" t="str">
        <f>TEXT(A16,"mmm yyyy")</f>
        <v>May 2026</v>
      </c>
    </row>
    <row r="17" spans="1:10" x14ac:dyDescent="0.2">
      <c r="A17" s="7">
        <v>46153</v>
      </c>
      <c r="B17" s="8" t="s">
        <v>41</v>
      </c>
      <c r="C17" s="8" t="s">
        <v>38</v>
      </c>
      <c r="D17" s="9">
        <v>3</v>
      </c>
      <c r="E17" s="10">
        <v>80</v>
      </c>
      <c r="F17" s="10">
        <f>D17*E17</f>
        <v>240</v>
      </c>
      <c r="G17" s="9" t="s">
        <v>26</v>
      </c>
      <c r="H17" s="10">
        <v>120</v>
      </c>
      <c r="I17" s="10">
        <f>F17-H17</f>
        <v>120</v>
      </c>
      <c r="J17" s="9" t="str">
        <f>TEXT(A17,"mmm yyyy")</f>
        <v>May 2026</v>
      </c>
    </row>
    <row r="18" spans="1:10" x14ac:dyDescent="0.2">
      <c r="A18" s="11">
        <v>46153</v>
      </c>
      <c r="B18" s="12" t="s">
        <v>29</v>
      </c>
      <c r="C18" s="12" t="s">
        <v>30</v>
      </c>
      <c r="D18" s="13">
        <v>2</v>
      </c>
      <c r="E18" s="14">
        <v>120</v>
      </c>
      <c r="F18" s="14">
        <f>D18*E18</f>
        <v>240</v>
      </c>
      <c r="G18" s="13" t="s">
        <v>26</v>
      </c>
      <c r="H18" s="14">
        <v>140</v>
      </c>
      <c r="I18" s="14">
        <f>F18-H18</f>
        <v>100</v>
      </c>
      <c r="J18" s="13" t="str">
        <f>TEXT(A18,"mmm yyyy")</f>
        <v>May 2026</v>
      </c>
    </row>
    <row r="19" spans="1:10" x14ac:dyDescent="0.2">
      <c r="A19" s="7">
        <v>46153</v>
      </c>
      <c r="B19" s="8" t="s">
        <v>32</v>
      </c>
      <c r="C19" s="8" t="s">
        <v>33</v>
      </c>
      <c r="D19" s="9">
        <v>1</v>
      </c>
      <c r="E19" s="10">
        <v>90</v>
      </c>
      <c r="F19" s="10">
        <f>D19*E19</f>
        <v>90</v>
      </c>
      <c r="G19" s="9" t="s">
        <v>34</v>
      </c>
      <c r="H19" s="10">
        <v>50</v>
      </c>
      <c r="I19" s="10">
        <f>F19-H19</f>
        <v>40</v>
      </c>
      <c r="J19" s="9" t="str">
        <f>TEXT(A19,"mmm yyyy")</f>
        <v>May 2026</v>
      </c>
    </row>
    <row r="20" spans="1:10" x14ac:dyDescent="0.2">
      <c r="A20" s="11">
        <v>46154</v>
      </c>
      <c r="B20" s="12" t="s">
        <v>40</v>
      </c>
      <c r="C20" s="12" t="s">
        <v>38</v>
      </c>
      <c r="D20" s="13">
        <v>2</v>
      </c>
      <c r="E20" s="14">
        <v>150</v>
      </c>
      <c r="F20" s="14">
        <f>D20*E20</f>
        <v>300</v>
      </c>
      <c r="G20" s="13" t="s">
        <v>31</v>
      </c>
      <c r="H20" s="14">
        <v>160</v>
      </c>
      <c r="I20" s="14">
        <f>F20-H20</f>
        <v>140</v>
      </c>
      <c r="J20" s="13" t="str">
        <f>TEXT(A20,"mmm yyyy")</f>
        <v>May 2026</v>
      </c>
    </row>
    <row r="21" spans="1:10" x14ac:dyDescent="0.2">
      <c r="A21" s="7">
        <v>46155</v>
      </c>
      <c r="B21" s="8" t="s">
        <v>29</v>
      </c>
      <c r="C21" s="8" t="s">
        <v>30</v>
      </c>
      <c r="D21" s="9">
        <v>4</v>
      </c>
      <c r="E21" s="10">
        <v>120</v>
      </c>
      <c r="F21" s="10">
        <f>D21*E21</f>
        <v>480</v>
      </c>
      <c r="G21" s="9" t="s">
        <v>26</v>
      </c>
      <c r="H21" s="10">
        <v>280</v>
      </c>
      <c r="I21" s="10">
        <f>F21-H21</f>
        <v>200</v>
      </c>
      <c r="J21" s="9" t="str">
        <f>TEXT(A21,"mmm yyyy")</f>
        <v>May 2026</v>
      </c>
    </row>
    <row r="22" spans="1:10" x14ac:dyDescent="0.2">
      <c r="A22" s="11">
        <v>46155</v>
      </c>
      <c r="B22" s="12" t="s">
        <v>39</v>
      </c>
      <c r="C22" s="12" t="s">
        <v>36</v>
      </c>
      <c r="D22" s="13">
        <v>2</v>
      </c>
      <c r="E22" s="14">
        <v>350</v>
      </c>
      <c r="F22" s="14">
        <f>D22*E22</f>
        <v>700</v>
      </c>
      <c r="G22" s="13" t="s">
        <v>26</v>
      </c>
      <c r="H22" s="14">
        <v>400</v>
      </c>
      <c r="I22" s="14">
        <f>F22-H22</f>
        <v>300</v>
      </c>
      <c r="J22" s="13" t="str">
        <f>TEXT(A22,"mmm yyyy")</f>
        <v>May 2026</v>
      </c>
    </row>
    <row r="23" spans="1:10" x14ac:dyDescent="0.2">
      <c r="A23" s="7">
        <v>46156</v>
      </c>
      <c r="B23" s="8" t="s">
        <v>42</v>
      </c>
      <c r="C23" s="8" t="s">
        <v>30</v>
      </c>
      <c r="D23" s="9">
        <v>4</v>
      </c>
      <c r="E23" s="10">
        <v>140</v>
      </c>
      <c r="F23" s="10">
        <f>D23*E23</f>
        <v>560</v>
      </c>
      <c r="G23" s="9" t="s">
        <v>26</v>
      </c>
      <c r="H23" s="10">
        <v>320</v>
      </c>
      <c r="I23" s="10">
        <f>F23-H23</f>
        <v>240</v>
      </c>
      <c r="J23" s="9" t="str">
        <f>TEXT(A23,"mmm yyyy")</f>
        <v>May 2026</v>
      </c>
    </row>
    <row r="24" spans="1:10" x14ac:dyDescent="0.2">
      <c r="A24" s="11">
        <v>46157</v>
      </c>
      <c r="B24" s="12" t="s">
        <v>39</v>
      </c>
      <c r="C24" s="12" t="s">
        <v>36</v>
      </c>
      <c r="D24" s="13">
        <v>2</v>
      </c>
      <c r="E24" s="14">
        <v>350</v>
      </c>
      <c r="F24" s="14">
        <f>D24*E24</f>
        <v>700</v>
      </c>
      <c r="G24" s="13" t="s">
        <v>31</v>
      </c>
      <c r="H24" s="14">
        <v>400</v>
      </c>
      <c r="I24" s="14">
        <f>F24-H24</f>
        <v>300</v>
      </c>
      <c r="J24" s="13" t="str">
        <f>TEXT(A24,"mmm yyyy")</f>
        <v>May 2026</v>
      </c>
    </row>
    <row r="25" spans="1:10" x14ac:dyDescent="0.2">
      <c r="A25" s="7">
        <v>46159</v>
      </c>
      <c r="B25" s="8" t="s">
        <v>41</v>
      </c>
      <c r="C25" s="8" t="s">
        <v>38</v>
      </c>
      <c r="D25" s="9">
        <v>2</v>
      </c>
      <c r="E25" s="10">
        <v>80</v>
      </c>
      <c r="F25" s="10">
        <f>D25*E25</f>
        <v>160</v>
      </c>
      <c r="G25" s="9" t="s">
        <v>26</v>
      </c>
      <c r="H25" s="10">
        <v>80</v>
      </c>
      <c r="I25" s="10">
        <f>F25-H25</f>
        <v>80</v>
      </c>
      <c r="J25" s="9" t="str">
        <f>TEXT(A25,"mmm yyyy")</f>
        <v>May 2026</v>
      </c>
    </row>
    <row r="26" spans="1:10" x14ac:dyDescent="0.2">
      <c r="A26" s="11">
        <v>46159</v>
      </c>
      <c r="B26" s="12" t="s">
        <v>27</v>
      </c>
      <c r="C26" s="12" t="s">
        <v>28</v>
      </c>
      <c r="D26" s="13">
        <v>1</v>
      </c>
      <c r="E26" s="14">
        <v>180</v>
      </c>
      <c r="F26" s="14">
        <f>D26*E26</f>
        <v>180</v>
      </c>
      <c r="G26" s="13" t="s">
        <v>26</v>
      </c>
      <c r="H26" s="14">
        <v>100</v>
      </c>
      <c r="I26" s="14">
        <f>F26-H26</f>
        <v>80</v>
      </c>
      <c r="J26" s="13" t="str">
        <f>TEXT(A26,"mmm yyyy")</f>
        <v>May 2026</v>
      </c>
    </row>
    <row r="27" spans="1:10" x14ac:dyDescent="0.2">
      <c r="A27" s="7">
        <v>46159</v>
      </c>
      <c r="B27" s="8" t="s">
        <v>29</v>
      </c>
      <c r="C27" s="8" t="s">
        <v>30</v>
      </c>
      <c r="D27" s="9">
        <v>4</v>
      </c>
      <c r="E27" s="10">
        <v>120</v>
      </c>
      <c r="F27" s="10">
        <f>D27*E27</f>
        <v>480</v>
      </c>
      <c r="G27" s="9" t="s">
        <v>26</v>
      </c>
      <c r="H27" s="10">
        <v>280</v>
      </c>
      <c r="I27" s="10">
        <f>F27-H27</f>
        <v>200</v>
      </c>
      <c r="J27" s="9" t="str">
        <f>TEXT(A27,"mmm yyyy")</f>
        <v>May 2026</v>
      </c>
    </row>
    <row r="28" spans="1:10" x14ac:dyDescent="0.2">
      <c r="A28" s="11">
        <v>46161</v>
      </c>
      <c r="B28" s="12" t="s">
        <v>37</v>
      </c>
      <c r="C28" s="12" t="s">
        <v>38</v>
      </c>
      <c r="D28" s="13">
        <v>2</v>
      </c>
      <c r="E28" s="14">
        <v>60</v>
      </c>
      <c r="F28" s="14">
        <f>D28*E28</f>
        <v>120</v>
      </c>
      <c r="G28" s="13" t="s">
        <v>34</v>
      </c>
      <c r="H28" s="14">
        <v>50</v>
      </c>
      <c r="I28" s="14">
        <f>F28-H28</f>
        <v>70</v>
      </c>
      <c r="J28" s="13" t="str">
        <f>TEXT(A28,"mmm yyyy")</f>
        <v>May 2026</v>
      </c>
    </row>
    <row r="29" spans="1:10" x14ac:dyDescent="0.2">
      <c r="A29" s="7">
        <v>46161</v>
      </c>
      <c r="B29" s="8" t="s">
        <v>37</v>
      </c>
      <c r="C29" s="8" t="s">
        <v>38</v>
      </c>
      <c r="D29" s="9">
        <v>1</v>
      </c>
      <c r="E29" s="10">
        <v>60</v>
      </c>
      <c r="F29" s="10">
        <f>D29*E29</f>
        <v>60</v>
      </c>
      <c r="G29" s="9" t="s">
        <v>26</v>
      </c>
      <c r="H29" s="10">
        <v>25</v>
      </c>
      <c r="I29" s="10">
        <f>F29-H29</f>
        <v>35</v>
      </c>
      <c r="J29" s="9" t="str">
        <f>TEXT(A29,"mmm yyyy")</f>
        <v>May 2026</v>
      </c>
    </row>
    <row r="30" spans="1:10" x14ac:dyDescent="0.2">
      <c r="A30" s="11">
        <v>46161</v>
      </c>
      <c r="B30" s="12" t="s">
        <v>41</v>
      </c>
      <c r="C30" s="12" t="s">
        <v>38</v>
      </c>
      <c r="D30" s="13">
        <v>1</v>
      </c>
      <c r="E30" s="14">
        <v>80</v>
      </c>
      <c r="F30" s="14">
        <f>D30*E30</f>
        <v>80</v>
      </c>
      <c r="G30" s="13" t="s">
        <v>34</v>
      </c>
      <c r="H30" s="14">
        <v>40</v>
      </c>
      <c r="I30" s="14">
        <f>F30-H30</f>
        <v>40</v>
      </c>
      <c r="J30" s="13" t="str">
        <f>TEXT(A30,"mmm yyyy")</f>
        <v>May 2026</v>
      </c>
    </row>
    <row r="31" spans="1:10" x14ac:dyDescent="0.2">
      <c r="A31" s="7">
        <v>46163</v>
      </c>
      <c r="B31" s="8" t="s">
        <v>24</v>
      </c>
      <c r="C31" s="8" t="s">
        <v>25</v>
      </c>
      <c r="D31" s="9">
        <v>4</v>
      </c>
      <c r="E31" s="10">
        <v>100</v>
      </c>
      <c r="F31" s="10">
        <f>D31*E31</f>
        <v>400</v>
      </c>
      <c r="G31" s="9" t="s">
        <v>31</v>
      </c>
      <c r="H31" s="10">
        <v>220</v>
      </c>
      <c r="I31" s="10">
        <f>F31-H31</f>
        <v>180</v>
      </c>
      <c r="J31" s="9" t="str">
        <f>TEXT(A31,"mmm yyyy")</f>
        <v>May 2026</v>
      </c>
    </row>
    <row r="32" spans="1:10" x14ac:dyDescent="0.2">
      <c r="A32" s="11">
        <v>46163</v>
      </c>
      <c r="B32" s="12" t="s">
        <v>41</v>
      </c>
      <c r="C32" s="12" t="s">
        <v>38</v>
      </c>
      <c r="D32" s="13">
        <v>1</v>
      </c>
      <c r="E32" s="14">
        <v>80</v>
      </c>
      <c r="F32" s="14">
        <f>D32*E32</f>
        <v>80</v>
      </c>
      <c r="G32" s="13" t="s">
        <v>26</v>
      </c>
      <c r="H32" s="14">
        <v>40</v>
      </c>
      <c r="I32" s="14">
        <f>F32-H32</f>
        <v>40</v>
      </c>
      <c r="J32" s="13" t="str">
        <f>TEXT(A32,"mmm yyyy")</f>
        <v>May 2026</v>
      </c>
    </row>
    <row r="33" spans="1:10" x14ac:dyDescent="0.2">
      <c r="A33" s="7">
        <v>46163</v>
      </c>
      <c r="B33" s="8" t="s">
        <v>40</v>
      </c>
      <c r="C33" s="8" t="s">
        <v>38</v>
      </c>
      <c r="D33" s="9">
        <v>3</v>
      </c>
      <c r="E33" s="10">
        <v>150</v>
      </c>
      <c r="F33" s="10">
        <f>D33*E33</f>
        <v>450</v>
      </c>
      <c r="G33" s="9" t="s">
        <v>31</v>
      </c>
      <c r="H33" s="10">
        <v>240</v>
      </c>
      <c r="I33" s="10">
        <f>F33-H33</f>
        <v>210</v>
      </c>
      <c r="J33" s="9" t="str">
        <f>TEXT(A33,"mmm yyyy")</f>
        <v>May 2026</v>
      </c>
    </row>
    <row r="34" spans="1:10" x14ac:dyDescent="0.2">
      <c r="A34" s="11">
        <v>46164</v>
      </c>
      <c r="B34" s="12" t="s">
        <v>27</v>
      </c>
      <c r="C34" s="12" t="s">
        <v>28</v>
      </c>
      <c r="D34" s="13">
        <v>1</v>
      </c>
      <c r="E34" s="14">
        <v>180</v>
      </c>
      <c r="F34" s="14">
        <f>D34*E34</f>
        <v>180</v>
      </c>
      <c r="G34" s="13" t="s">
        <v>26</v>
      </c>
      <c r="H34" s="14">
        <v>100</v>
      </c>
      <c r="I34" s="14">
        <f>F34-H34</f>
        <v>80</v>
      </c>
      <c r="J34" s="13" t="str">
        <f>TEXT(A34,"mmm yyyy")</f>
        <v>May 2026</v>
      </c>
    </row>
    <row r="35" spans="1:10" x14ac:dyDescent="0.2">
      <c r="A35" s="7">
        <v>46165</v>
      </c>
      <c r="B35" s="8" t="s">
        <v>42</v>
      </c>
      <c r="C35" s="8" t="s">
        <v>30</v>
      </c>
      <c r="D35" s="9">
        <v>1</v>
      </c>
      <c r="E35" s="10">
        <v>140</v>
      </c>
      <c r="F35" s="10">
        <f>D35*E35</f>
        <v>140</v>
      </c>
      <c r="G35" s="9" t="s">
        <v>31</v>
      </c>
      <c r="H35" s="10">
        <v>80</v>
      </c>
      <c r="I35" s="10">
        <f>F35-H35</f>
        <v>60</v>
      </c>
      <c r="J35" s="9" t="str">
        <f>TEXT(A35,"mmm yyyy")</f>
        <v>May 2026</v>
      </c>
    </row>
    <row r="36" spans="1:10" x14ac:dyDescent="0.2">
      <c r="A36" s="11">
        <v>46165</v>
      </c>
      <c r="B36" s="12" t="s">
        <v>40</v>
      </c>
      <c r="C36" s="12" t="s">
        <v>38</v>
      </c>
      <c r="D36" s="13">
        <v>3</v>
      </c>
      <c r="E36" s="14">
        <v>150</v>
      </c>
      <c r="F36" s="14">
        <f>D36*E36</f>
        <v>450</v>
      </c>
      <c r="G36" s="13" t="s">
        <v>31</v>
      </c>
      <c r="H36" s="14">
        <v>240</v>
      </c>
      <c r="I36" s="14">
        <f>F36-H36</f>
        <v>210</v>
      </c>
      <c r="J36" s="13" t="str">
        <f>TEXT(A36,"mmm yyyy")</f>
        <v>May 2026</v>
      </c>
    </row>
    <row r="37" spans="1:10" x14ac:dyDescent="0.2">
      <c r="A37" s="7">
        <v>46166</v>
      </c>
      <c r="B37" s="8" t="s">
        <v>24</v>
      </c>
      <c r="C37" s="8" t="s">
        <v>25</v>
      </c>
      <c r="D37" s="9">
        <v>4</v>
      </c>
      <c r="E37" s="10">
        <v>100</v>
      </c>
      <c r="F37" s="10">
        <f>D37*E37</f>
        <v>400</v>
      </c>
      <c r="G37" s="9" t="s">
        <v>26</v>
      </c>
      <c r="H37" s="10">
        <v>220</v>
      </c>
      <c r="I37" s="10">
        <f>F37-H37</f>
        <v>180</v>
      </c>
      <c r="J37" s="9" t="str">
        <f>TEXT(A37,"mmm yyyy")</f>
        <v>May 2026</v>
      </c>
    </row>
    <row r="38" spans="1:10" x14ac:dyDescent="0.2">
      <c r="A38" s="11">
        <v>46166</v>
      </c>
      <c r="B38" s="12" t="s">
        <v>27</v>
      </c>
      <c r="C38" s="12" t="s">
        <v>28</v>
      </c>
      <c r="D38" s="13">
        <v>4</v>
      </c>
      <c r="E38" s="14">
        <v>180</v>
      </c>
      <c r="F38" s="14">
        <f>D38*E38</f>
        <v>720</v>
      </c>
      <c r="G38" s="13" t="s">
        <v>34</v>
      </c>
      <c r="H38" s="14">
        <v>400</v>
      </c>
      <c r="I38" s="14">
        <f>F38-H38</f>
        <v>320</v>
      </c>
      <c r="J38" s="13" t="str">
        <f>TEXT(A38,"mmm yyyy")</f>
        <v>May 2026</v>
      </c>
    </row>
    <row r="39" spans="1:10" x14ac:dyDescent="0.2">
      <c r="A39" s="7">
        <v>46166</v>
      </c>
      <c r="B39" s="8" t="s">
        <v>32</v>
      </c>
      <c r="C39" s="8" t="s">
        <v>33</v>
      </c>
      <c r="D39" s="9">
        <v>4</v>
      </c>
      <c r="E39" s="10">
        <v>90</v>
      </c>
      <c r="F39" s="10">
        <f>D39*E39</f>
        <v>360</v>
      </c>
      <c r="G39" s="9" t="s">
        <v>31</v>
      </c>
      <c r="H39" s="10">
        <v>200</v>
      </c>
      <c r="I39" s="10">
        <f>F39-H39</f>
        <v>160</v>
      </c>
      <c r="J39" s="9" t="str">
        <f>TEXT(A39,"mmm yyyy")</f>
        <v>May 2026</v>
      </c>
    </row>
    <row r="40" spans="1:10" x14ac:dyDescent="0.2">
      <c r="A40" s="11">
        <v>46168</v>
      </c>
      <c r="B40" s="12" t="s">
        <v>27</v>
      </c>
      <c r="C40" s="12" t="s">
        <v>28</v>
      </c>
      <c r="D40" s="13">
        <v>4</v>
      </c>
      <c r="E40" s="14">
        <v>180</v>
      </c>
      <c r="F40" s="14">
        <f>D40*E40</f>
        <v>720</v>
      </c>
      <c r="G40" s="13" t="s">
        <v>34</v>
      </c>
      <c r="H40" s="14">
        <v>400</v>
      </c>
      <c r="I40" s="14">
        <f>F40-H40</f>
        <v>320</v>
      </c>
      <c r="J40" s="13" t="str">
        <f>TEXT(A40,"mmm yyyy")</f>
        <v>May 2026</v>
      </c>
    </row>
    <row r="41" spans="1:10" x14ac:dyDescent="0.2">
      <c r="A41" s="7">
        <v>46168</v>
      </c>
      <c r="B41" s="8" t="s">
        <v>24</v>
      </c>
      <c r="C41" s="8" t="s">
        <v>25</v>
      </c>
      <c r="D41" s="9">
        <v>3</v>
      </c>
      <c r="E41" s="10">
        <v>100</v>
      </c>
      <c r="F41" s="10">
        <f>D41*E41</f>
        <v>300</v>
      </c>
      <c r="G41" s="9" t="s">
        <v>26</v>
      </c>
      <c r="H41" s="10">
        <v>165</v>
      </c>
      <c r="I41" s="10">
        <f>F41-H41</f>
        <v>135</v>
      </c>
      <c r="J41" s="9" t="str">
        <f>TEXT(A41,"mmm yyyy")</f>
        <v>May 2026</v>
      </c>
    </row>
    <row r="42" spans="1:10" x14ac:dyDescent="0.2">
      <c r="A42" s="11">
        <v>46169</v>
      </c>
      <c r="B42" s="12" t="s">
        <v>24</v>
      </c>
      <c r="C42" s="12" t="s">
        <v>25</v>
      </c>
      <c r="D42" s="13">
        <v>4</v>
      </c>
      <c r="E42" s="14">
        <v>100</v>
      </c>
      <c r="F42" s="14">
        <f>D42*E42</f>
        <v>400</v>
      </c>
      <c r="G42" s="13" t="s">
        <v>31</v>
      </c>
      <c r="H42" s="14">
        <v>220</v>
      </c>
      <c r="I42" s="14">
        <f>F42-H42</f>
        <v>180</v>
      </c>
      <c r="J42" s="13" t="str">
        <f>TEXT(A42,"mmm yyyy")</f>
        <v>May 2026</v>
      </c>
    </row>
    <row r="43" spans="1:10" x14ac:dyDescent="0.2">
      <c r="A43" s="7">
        <v>46170</v>
      </c>
      <c r="B43" s="8" t="s">
        <v>41</v>
      </c>
      <c r="C43" s="8" t="s">
        <v>38</v>
      </c>
      <c r="D43" s="9">
        <v>1</v>
      </c>
      <c r="E43" s="10">
        <v>80</v>
      </c>
      <c r="F43" s="10">
        <f>D43*E43</f>
        <v>80</v>
      </c>
      <c r="G43" s="9" t="s">
        <v>31</v>
      </c>
      <c r="H43" s="10">
        <v>40</v>
      </c>
      <c r="I43" s="10">
        <f>F43-H43</f>
        <v>40</v>
      </c>
      <c r="J43" s="9" t="str">
        <f>TEXT(A43,"mmm yyyy")</f>
        <v>May 2026</v>
      </c>
    </row>
    <row r="44" spans="1:10" x14ac:dyDescent="0.2">
      <c r="A44" s="11">
        <v>46171</v>
      </c>
      <c r="B44" s="12" t="s">
        <v>27</v>
      </c>
      <c r="C44" s="12" t="s">
        <v>28</v>
      </c>
      <c r="D44" s="13">
        <v>3</v>
      </c>
      <c r="E44" s="14">
        <v>180</v>
      </c>
      <c r="F44" s="14">
        <f>D44*E44</f>
        <v>540</v>
      </c>
      <c r="G44" s="13" t="s">
        <v>26</v>
      </c>
      <c r="H44" s="14">
        <v>300</v>
      </c>
      <c r="I44" s="14">
        <f>F44-H44</f>
        <v>240</v>
      </c>
      <c r="J44" s="13" t="str">
        <f>TEXT(A44,"mmm yyyy")</f>
        <v>May 2026</v>
      </c>
    </row>
    <row r="45" spans="1:10" x14ac:dyDescent="0.2">
      <c r="A45" s="7">
        <v>46171</v>
      </c>
      <c r="B45" s="8" t="s">
        <v>41</v>
      </c>
      <c r="C45" s="8" t="s">
        <v>38</v>
      </c>
      <c r="D45" s="9">
        <v>2</v>
      </c>
      <c r="E45" s="10">
        <v>80</v>
      </c>
      <c r="F45" s="10">
        <f>D45*E45</f>
        <v>160</v>
      </c>
      <c r="G45" s="9" t="s">
        <v>26</v>
      </c>
      <c r="H45" s="10">
        <v>80</v>
      </c>
      <c r="I45" s="10">
        <f>F45-H45</f>
        <v>80</v>
      </c>
      <c r="J45" s="9" t="str">
        <f>TEXT(A45,"mmm yyyy")</f>
        <v>May 2026</v>
      </c>
    </row>
    <row r="46" spans="1:10" x14ac:dyDescent="0.2">
      <c r="A46" s="11">
        <v>46171</v>
      </c>
      <c r="B46" s="12" t="s">
        <v>37</v>
      </c>
      <c r="C46" s="12" t="s">
        <v>38</v>
      </c>
      <c r="D46" s="13">
        <v>1</v>
      </c>
      <c r="E46" s="14">
        <v>60</v>
      </c>
      <c r="F46" s="14">
        <f>D46*E46</f>
        <v>60</v>
      </c>
      <c r="G46" s="13" t="s">
        <v>26</v>
      </c>
      <c r="H46" s="14">
        <v>25</v>
      </c>
      <c r="I46" s="14">
        <f>F46-H46</f>
        <v>35</v>
      </c>
      <c r="J46" s="13" t="str">
        <f>TEXT(A46,"mmm yyyy")</f>
        <v>May 2026</v>
      </c>
    </row>
    <row r="47" spans="1:10" x14ac:dyDescent="0.2">
      <c r="A47" s="7">
        <v>46173</v>
      </c>
      <c r="B47" s="8" t="s">
        <v>32</v>
      </c>
      <c r="C47" s="8" t="s">
        <v>33</v>
      </c>
      <c r="D47" s="9">
        <v>4</v>
      </c>
      <c r="E47" s="10">
        <v>90</v>
      </c>
      <c r="F47" s="10">
        <f>D47*E47</f>
        <v>360</v>
      </c>
      <c r="G47" s="9" t="s">
        <v>31</v>
      </c>
      <c r="H47" s="10">
        <v>200</v>
      </c>
      <c r="I47" s="10">
        <f>F47-H47</f>
        <v>160</v>
      </c>
      <c r="J47" s="9" t="str">
        <f>TEXT(A47,"mmm yyyy")</f>
        <v>May 2026</v>
      </c>
    </row>
    <row r="48" spans="1:10" x14ac:dyDescent="0.2">
      <c r="A48" s="11">
        <v>46174</v>
      </c>
      <c r="B48" s="12" t="s">
        <v>39</v>
      </c>
      <c r="C48" s="12" t="s">
        <v>36</v>
      </c>
      <c r="D48" s="13">
        <v>1</v>
      </c>
      <c r="E48" s="14">
        <v>350</v>
      </c>
      <c r="F48" s="14">
        <f>D48*E48</f>
        <v>350</v>
      </c>
      <c r="G48" s="13" t="s">
        <v>34</v>
      </c>
      <c r="H48" s="14">
        <v>200</v>
      </c>
      <c r="I48" s="14">
        <f>F48-H48</f>
        <v>150</v>
      </c>
      <c r="J48" s="13" t="str">
        <f>TEXT(A48,"mmm yyyy")</f>
        <v>Jun 2026</v>
      </c>
    </row>
    <row r="49" spans="1:10" x14ac:dyDescent="0.2">
      <c r="A49" s="7">
        <v>46174</v>
      </c>
      <c r="B49" s="8" t="s">
        <v>24</v>
      </c>
      <c r="C49" s="8" t="s">
        <v>25</v>
      </c>
      <c r="D49" s="9">
        <v>3</v>
      </c>
      <c r="E49" s="10">
        <v>100</v>
      </c>
      <c r="F49" s="10">
        <f>D49*E49</f>
        <v>300</v>
      </c>
      <c r="G49" s="9" t="s">
        <v>31</v>
      </c>
      <c r="H49" s="10">
        <v>165</v>
      </c>
      <c r="I49" s="10">
        <f>F49-H49</f>
        <v>135</v>
      </c>
      <c r="J49" s="9" t="str">
        <f>TEXT(A49,"mmm yyyy")</f>
        <v>Jun 2026</v>
      </c>
    </row>
    <row r="50" spans="1:10" x14ac:dyDescent="0.2">
      <c r="A50" s="11">
        <v>46174</v>
      </c>
      <c r="B50" s="12" t="s">
        <v>37</v>
      </c>
      <c r="C50" s="12" t="s">
        <v>38</v>
      </c>
      <c r="D50" s="13">
        <v>3</v>
      </c>
      <c r="E50" s="14">
        <v>60</v>
      </c>
      <c r="F50" s="14">
        <f>D50*E50</f>
        <v>180</v>
      </c>
      <c r="G50" s="13" t="s">
        <v>26</v>
      </c>
      <c r="H50" s="14">
        <v>75</v>
      </c>
      <c r="I50" s="14">
        <f>F50-H50</f>
        <v>105</v>
      </c>
      <c r="J50" s="13" t="str">
        <f>TEXT(A50,"mmm yyyy")</f>
        <v>Jun 2026</v>
      </c>
    </row>
    <row r="51" spans="1:10" x14ac:dyDescent="0.2">
      <c r="A51" s="7">
        <v>46175</v>
      </c>
      <c r="B51" s="8" t="s">
        <v>35</v>
      </c>
      <c r="C51" s="8" t="s">
        <v>36</v>
      </c>
      <c r="D51" s="9">
        <v>4</v>
      </c>
      <c r="E51" s="10">
        <v>250</v>
      </c>
      <c r="F51" s="10">
        <f>D51*E51</f>
        <v>1000</v>
      </c>
      <c r="G51" s="9" t="s">
        <v>34</v>
      </c>
      <c r="H51" s="10">
        <v>560</v>
      </c>
      <c r="I51" s="10">
        <f>F51-H51</f>
        <v>440</v>
      </c>
      <c r="J51" s="9" t="str">
        <f>TEXT(A51,"mmm yyyy")</f>
        <v>Jun 2026</v>
      </c>
    </row>
    <row r="52" spans="1:10" x14ac:dyDescent="0.2">
      <c r="A52" s="11">
        <v>46177</v>
      </c>
      <c r="B52" s="12" t="s">
        <v>32</v>
      </c>
      <c r="C52" s="12" t="s">
        <v>33</v>
      </c>
      <c r="D52" s="13">
        <v>1</v>
      </c>
      <c r="E52" s="14">
        <v>90</v>
      </c>
      <c r="F52" s="14">
        <f>D52*E52</f>
        <v>90</v>
      </c>
      <c r="G52" s="13" t="s">
        <v>26</v>
      </c>
      <c r="H52" s="14">
        <v>50</v>
      </c>
      <c r="I52" s="14">
        <f>F52-H52</f>
        <v>40</v>
      </c>
      <c r="J52" s="13" t="str">
        <f>TEXT(A52,"mmm yyyy")</f>
        <v>Jun 2026</v>
      </c>
    </row>
    <row r="53" spans="1:10" x14ac:dyDescent="0.2">
      <c r="A53" s="7">
        <v>46177</v>
      </c>
      <c r="B53" s="8" t="s">
        <v>37</v>
      </c>
      <c r="C53" s="8" t="s">
        <v>38</v>
      </c>
      <c r="D53" s="9">
        <v>3</v>
      </c>
      <c r="E53" s="10">
        <v>60</v>
      </c>
      <c r="F53" s="10">
        <f>D53*E53</f>
        <v>180</v>
      </c>
      <c r="G53" s="9" t="s">
        <v>31</v>
      </c>
      <c r="H53" s="10">
        <v>75</v>
      </c>
      <c r="I53" s="10">
        <f>F53-H53</f>
        <v>105</v>
      </c>
      <c r="J53" s="9" t="str">
        <f>TEXT(A53,"mmm yyyy")</f>
        <v>Jun 2026</v>
      </c>
    </row>
    <row r="54" spans="1:10" x14ac:dyDescent="0.2">
      <c r="A54" s="11">
        <v>46180</v>
      </c>
      <c r="B54" s="12" t="s">
        <v>27</v>
      </c>
      <c r="C54" s="12" t="s">
        <v>28</v>
      </c>
      <c r="D54" s="13">
        <v>1</v>
      </c>
      <c r="E54" s="14">
        <v>180</v>
      </c>
      <c r="F54" s="14">
        <f>D54*E54</f>
        <v>180</v>
      </c>
      <c r="G54" s="13" t="s">
        <v>26</v>
      </c>
      <c r="H54" s="14">
        <v>100</v>
      </c>
      <c r="I54" s="14">
        <f>F54-H54</f>
        <v>80</v>
      </c>
      <c r="J54" s="13" t="str">
        <f>TEXT(A54,"mmm yyyy")</f>
        <v>Jun 2026</v>
      </c>
    </row>
    <row r="55" spans="1:10" x14ac:dyDescent="0.2">
      <c r="A55" s="7">
        <v>46180</v>
      </c>
      <c r="B55" s="8" t="s">
        <v>29</v>
      </c>
      <c r="C55" s="8" t="s">
        <v>30</v>
      </c>
      <c r="D55" s="9">
        <v>1</v>
      </c>
      <c r="E55" s="10">
        <v>120</v>
      </c>
      <c r="F55" s="10">
        <f>D55*E55</f>
        <v>120</v>
      </c>
      <c r="G55" s="9" t="s">
        <v>26</v>
      </c>
      <c r="H55" s="10">
        <v>70</v>
      </c>
      <c r="I55" s="10">
        <f>F55-H55</f>
        <v>50</v>
      </c>
      <c r="J55" s="9" t="str">
        <f>TEXT(A55,"mmm yyyy")</f>
        <v>Jun 2026</v>
      </c>
    </row>
    <row r="56" spans="1:10" x14ac:dyDescent="0.2">
      <c r="A56" s="11">
        <v>46180</v>
      </c>
      <c r="B56" s="12" t="s">
        <v>27</v>
      </c>
      <c r="C56" s="12" t="s">
        <v>28</v>
      </c>
      <c r="D56" s="13">
        <v>2</v>
      </c>
      <c r="E56" s="14">
        <v>180</v>
      </c>
      <c r="F56" s="14">
        <f>D56*E56</f>
        <v>360</v>
      </c>
      <c r="G56" s="13" t="s">
        <v>26</v>
      </c>
      <c r="H56" s="14">
        <v>200</v>
      </c>
      <c r="I56" s="14">
        <f>F56-H56</f>
        <v>160</v>
      </c>
      <c r="J56" s="13" t="str">
        <f>TEXT(A56,"mmm yyyy")</f>
        <v>Jun 2026</v>
      </c>
    </row>
    <row r="57" spans="1:10" x14ac:dyDescent="0.2">
      <c r="A57" s="7">
        <v>46181</v>
      </c>
      <c r="B57" s="8" t="s">
        <v>37</v>
      </c>
      <c r="C57" s="8" t="s">
        <v>38</v>
      </c>
      <c r="D57" s="9">
        <v>1</v>
      </c>
      <c r="E57" s="10">
        <v>60</v>
      </c>
      <c r="F57" s="10">
        <f>D57*E57</f>
        <v>60</v>
      </c>
      <c r="G57" s="9" t="s">
        <v>31</v>
      </c>
      <c r="H57" s="10">
        <v>25</v>
      </c>
      <c r="I57" s="10">
        <f>F57-H57</f>
        <v>35</v>
      </c>
      <c r="J57" s="9" t="str">
        <f>TEXT(A57,"mmm yyyy")</f>
        <v>Jun 2026</v>
      </c>
    </row>
    <row r="58" spans="1:10" x14ac:dyDescent="0.2">
      <c r="A58" s="11">
        <v>46181</v>
      </c>
      <c r="B58" s="12" t="s">
        <v>39</v>
      </c>
      <c r="C58" s="12" t="s">
        <v>36</v>
      </c>
      <c r="D58" s="13">
        <v>4</v>
      </c>
      <c r="E58" s="14">
        <v>350</v>
      </c>
      <c r="F58" s="14">
        <f>D58*E58</f>
        <v>1400</v>
      </c>
      <c r="G58" s="13" t="s">
        <v>31</v>
      </c>
      <c r="H58" s="14">
        <v>800</v>
      </c>
      <c r="I58" s="14">
        <f>F58-H58</f>
        <v>600</v>
      </c>
      <c r="J58" s="13" t="str">
        <f>TEXT(A58,"mmm yyyy")</f>
        <v>Jun 2026</v>
      </c>
    </row>
    <row r="59" spans="1:10" x14ac:dyDescent="0.2">
      <c r="A59" s="7">
        <v>46182</v>
      </c>
      <c r="B59" s="8" t="s">
        <v>37</v>
      </c>
      <c r="C59" s="8" t="s">
        <v>38</v>
      </c>
      <c r="D59" s="9">
        <v>2</v>
      </c>
      <c r="E59" s="10">
        <v>60</v>
      </c>
      <c r="F59" s="10">
        <f>D59*E59</f>
        <v>120</v>
      </c>
      <c r="G59" s="9" t="s">
        <v>26</v>
      </c>
      <c r="H59" s="10">
        <v>50</v>
      </c>
      <c r="I59" s="10">
        <f>F59-H59</f>
        <v>70</v>
      </c>
      <c r="J59" s="9" t="str">
        <f>TEXT(A59,"mmm yyyy")</f>
        <v>Jun 2026</v>
      </c>
    </row>
    <row r="60" spans="1:10" x14ac:dyDescent="0.2">
      <c r="A60" s="11">
        <v>46184</v>
      </c>
      <c r="B60" s="12" t="s">
        <v>40</v>
      </c>
      <c r="C60" s="12" t="s">
        <v>38</v>
      </c>
      <c r="D60" s="13">
        <v>2</v>
      </c>
      <c r="E60" s="14">
        <v>150</v>
      </c>
      <c r="F60" s="14">
        <f>D60*E60</f>
        <v>300</v>
      </c>
      <c r="G60" s="13" t="s">
        <v>31</v>
      </c>
      <c r="H60" s="14">
        <v>160</v>
      </c>
      <c r="I60" s="14">
        <f>F60-H60</f>
        <v>140</v>
      </c>
      <c r="J60" s="13" t="str">
        <f>TEXT(A60,"mmm yyyy")</f>
        <v>Jun 2026</v>
      </c>
    </row>
    <row r="61" spans="1:10" x14ac:dyDescent="0.2">
      <c r="A61" s="7">
        <v>46184</v>
      </c>
      <c r="B61" s="8" t="s">
        <v>27</v>
      </c>
      <c r="C61" s="8" t="s">
        <v>28</v>
      </c>
      <c r="D61" s="9">
        <v>4</v>
      </c>
      <c r="E61" s="10">
        <v>180</v>
      </c>
      <c r="F61" s="10">
        <f>D61*E61</f>
        <v>720</v>
      </c>
      <c r="G61" s="9" t="s">
        <v>34</v>
      </c>
      <c r="H61" s="10">
        <v>400</v>
      </c>
      <c r="I61" s="10">
        <f>F61-H61</f>
        <v>320</v>
      </c>
      <c r="J61" s="9" t="str">
        <f>TEXT(A61,"mmm yyyy")</f>
        <v>Jun 2026</v>
      </c>
    </row>
    <row r="62" spans="1:10" x14ac:dyDescent="0.2">
      <c r="A62" s="11">
        <v>46185</v>
      </c>
      <c r="B62" s="12" t="s">
        <v>27</v>
      </c>
      <c r="C62" s="12" t="s">
        <v>28</v>
      </c>
      <c r="D62" s="13">
        <v>2</v>
      </c>
      <c r="E62" s="14">
        <v>180</v>
      </c>
      <c r="F62" s="14">
        <f>D62*E62</f>
        <v>360</v>
      </c>
      <c r="G62" s="13" t="s">
        <v>34</v>
      </c>
      <c r="H62" s="14">
        <v>200</v>
      </c>
      <c r="I62" s="14">
        <f>F62-H62</f>
        <v>160</v>
      </c>
      <c r="J62" s="13" t="str">
        <f>TEXT(A62,"mmm yyyy")</f>
        <v>Jun 2026</v>
      </c>
    </row>
    <row r="63" spans="1:10" x14ac:dyDescent="0.2">
      <c r="A63" s="7">
        <v>46186</v>
      </c>
      <c r="B63" s="8" t="s">
        <v>29</v>
      </c>
      <c r="C63" s="8" t="s">
        <v>30</v>
      </c>
      <c r="D63" s="9">
        <v>1</v>
      </c>
      <c r="E63" s="10">
        <v>120</v>
      </c>
      <c r="F63" s="10">
        <f>D63*E63</f>
        <v>120</v>
      </c>
      <c r="G63" s="9" t="s">
        <v>26</v>
      </c>
      <c r="H63" s="10">
        <v>70</v>
      </c>
      <c r="I63" s="10">
        <f>F63-H63</f>
        <v>50</v>
      </c>
      <c r="J63" s="9" t="str">
        <f>TEXT(A63,"mmm yyyy")</f>
        <v>Jun 2026</v>
      </c>
    </row>
    <row r="64" spans="1:10" x14ac:dyDescent="0.2">
      <c r="A64" s="11">
        <v>46187</v>
      </c>
      <c r="B64" s="12" t="s">
        <v>40</v>
      </c>
      <c r="C64" s="12" t="s">
        <v>38</v>
      </c>
      <c r="D64" s="13">
        <v>1</v>
      </c>
      <c r="E64" s="14">
        <v>150</v>
      </c>
      <c r="F64" s="14">
        <f>D64*E64</f>
        <v>150</v>
      </c>
      <c r="G64" s="13" t="s">
        <v>26</v>
      </c>
      <c r="H64" s="14">
        <v>80</v>
      </c>
      <c r="I64" s="14">
        <f>F64-H64</f>
        <v>70</v>
      </c>
      <c r="J64" s="13" t="str">
        <f>TEXT(A64,"mmm yyyy")</f>
        <v>Jun 2026</v>
      </c>
    </row>
    <row r="65" spans="1:10" x14ac:dyDescent="0.2">
      <c r="A65" s="7">
        <v>46188</v>
      </c>
      <c r="B65" s="8" t="s">
        <v>37</v>
      </c>
      <c r="C65" s="8" t="s">
        <v>38</v>
      </c>
      <c r="D65" s="9">
        <v>3</v>
      </c>
      <c r="E65" s="10">
        <v>60</v>
      </c>
      <c r="F65" s="10">
        <f>D65*E65</f>
        <v>180</v>
      </c>
      <c r="G65" s="9" t="s">
        <v>26</v>
      </c>
      <c r="H65" s="10">
        <v>75</v>
      </c>
      <c r="I65" s="10">
        <f>F65-H65</f>
        <v>105</v>
      </c>
      <c r="J65" s="9" t="str">
        <f>TEXT(A65,"mmm yyyy")</f>
        <v>Jun 2026</v>
      </c>
    </row>
    <row r="66" spans="1:10" x14ac:dyDescent="0.2">
      <c r="A66" s="11">
        <v>46190</v>
      </c>
      <c r="B66" s="12" t="s">
        <v>32</v>
      </c>
      <c r="C66" s="12" t="s">
        <v>33</v>
      </c>
      <c r="D66" s="13">
        <v>1</v>
      </c>
      <c r="E66" s="14">
        <v>90</v>
      </c>
      <c r="F66" s="14">
        <f>D66*E66</f>
        <v>90</v>
      </c>
      <c r="G66" s="13" t="s">
        <v>26</v>
      </c>
      <c r="H66" s="14">
        <v>50</v>
      </c>
      <c r="I66" s="14">
        <f>F66-H66</f>
        <v>40</v>
      </c>
      <c r="J66" s="13" t="str">
        <f>TEXT(A66,"mmm yyyy")</f>
        <v>Jun 2026</v>
      </c>
    </row>
    <row r="67" spans="1:10" x14ac:dyDescent="0.2">
      <c r="A67" s="7">
        <v>46191</v>
      </c>
      <c r="B67" s="8" t="s">
        <v>29</v>
      </c>
      <c r="C67" s="8" t="s">
        <v>30</v>
      </c>
      <c r="D67" s="9">
        <v>2</v>
      </c>
      <c r="E67" s="10">
        <v>120</v>
      </c>
      <c r="F67" s="10">
        <f>D67*E67</f>
        <v>240</v>
      </c>
      <c r="G67" s="9" t="s">
        <v>26</v>
      </c>
      <c r="H67" s="10">
        <v>140</v>
      </c>
      <c r="I67" s="10">
        <f>F67-H67</f>
        <v>100</v>
      </c>
      <c r="J67" s="9" t="str">
        <f>TEXT(A67,"mmm yyyy")</f>
        <v>Jun 2026</v>
      </c>
    </row>
    <row r="68" spans="1:10" x14ac:dyDescent="0.2">
      <c r="A68" s="11">
        <v>46191</v>
      </c>
      <c r="B68" s="12" t="s">
        <v>39</v>
      </c>
      <c r="C68" s="12" t="s">
        <v>36</v>
      </c>
      <c r="D68" s="13">
        <v>2</v>
      </c>
      <c r="E68" s="14">
        <v>350</v>
      </c>
      <c r="F68" s="14">
        <f>D68*E68</f>
        <v>700</v>
      </c>
      <c r="G68" s="13" t="s">
        <v>26</v>
      </c>
      <c r="H68" s="14">
        <v>400</v>
      </c>
      <c r="I68" s="14">
        <f>F68-H68</f>
        <v>300</v>
      </c>
      <c r="J68" s="13" t="str">
        <f>TEXT(A68,"mmm yyyy")</f>
        <v>Jun 2026</v>
      </c>
    </row>
    <row r="69" spans="1:10" x14ac:dyDescent="0.2">
      <c r="A69" s="7">
        <v>46192</v>
      </c>
      <c r="B69" s="8" t="s">
        <v>35</v>
      </c>
      <c r="C69" s="8" t="s">
        <v>36</v>
      </c>
      <c r="D69" s="9">
        <v>4</v>
      </c>
      <c r="E69" s="10">
        <v>250</v>
      </c>
      <c r="F69" s="10">
        <f>D69*E69</f>
        <v>1000</v>
      </c>
      <c r="G69" s="9" t="s">
        <v>34</v>
      </c>
      <c r="H69" s="10">
        <v>560</v>
      </c>
      <c r="I69" s="10">
        <f>F69-H69</f>
        <v>440</v>
      </c>
      <c r="J69" s="9" t="str">
        <f>TEXT(A69,"mmm yyyy")</f>
        <v>Jun 2026</v>
      </c>
    </row>
    <row r="70" spans="1:10" x14ac:dyDescent="0.2">
      <c r="A70" s="11">
        <v>46192</v>
      </c>
      <c r="B70" s="12" t="s">
        <v>37</v>
      </c>
      <c r="C70" s="12" t="s">
        <v>38</v>
      </c>
      <c r="D70" s="13">
        <v>2</v>
      </c>
      <c r="E70" s="14">
        <v>60</v>
      </c>
      <c r="F70" s="14">
        <f>D70*E70</f>
        <v>120</v>
      </c>
      <c r="G70" s="13" t="s">
        <v>31</v>
      </c>
      <c r="H70" s="14">
        <v>50</v>
      </c>
      <c r="I70" s="14">
        <f>F70-H70</f>
        <v>70</v>
      </c>
      <c r="J70" s="13" t="str">
        <f>TEXT(A70,"mmm yyyy")</f>
        <v>Jun 2026</v>
      </c>
    </row>
    <row r="71" spans="1:10" x14ac:dyDescent="0.2">
      <c r="A71" s="7">
        <v>46193</v>
      </c>
      <c r="B71" s="8" t="s">
        <v>24</v>
      </c>
      <c r="C71" s="8" t="s">
        <v>25</v>
      </c>
      <c r="D71" s="9">
        <v>1</v>
      </c>
      <c r="E71" s="10">
        <v>100</v>
      </c>
      <c r="F71" s="10">
        <f>D71*E71</f>
        <v>100</v>
      </c>
      <c r="G71" s="9" t="s">
        <v>26</v>
      </c>
      <c r="H71" s="10">
        <v>55</v>
      </c>
      <c r="I71" s="10">
        <f>F71-H71</f>
        <v>45</v>
      </c>
      <c r="J71" s="9" t="str">
        <f>TEXT(A71,"mmm yyyy")</f>
        <v>Jun 2026</v>
      </c>
    </row>
    <row r="72" spans="1:10" x14ac:dyDescent="0.2">
      <c r="A72" s="11">
        <v>46194</v>
      </c>
      <c r="B72" s="12" t="s">
        <v>27</v>
      </c>
      <c r="C72" s="12" t="s">
        <v>28</v>
      </c>
      <c r="D72" s="13">
        <v>4</v>
      </c>
      <c r="E72" s="14">
        <v>180</v>
      </c>
      <c r="F72" s="14">
        <f>D72*E72</f>
        <v>720</v>
      </c>
      <c r="G72" s="13" t="s">
        <v>26</v>
      </c>
      <c r="H72" s="14">
        <v>400</v>
      </c>
      <c r="I72" s="14">
        <f>F72-H72</f>
        <v>320</v>
      </c>
      <c r="J72" s="13" t="str">
        <f>TEXT(A72,"mmm yyyy")</f>
        <v>Jun 2026</v>
      </c>
    </row>
    <row r="73" spans="1:10" x14ac:dyDescent="0.2">
      <c r="A73" s="7">
        <v>46194</v>
      </c>
      <c r="B73" s="8" t="s">
        <v>37</v>
      </c>
      <c r="C73" s="8" t="s">
        <v>38</v>
      </c>
      <c r="D73" s="9">
        <v>3</v>
      </c>
      <c r="E73" s="10">
        <v>60</v>
      </c>
      <c r="F73" s="10">
        <f>D73*E73</f>
        <v>180</v>
      </c>
      <c r="G73" s="9" t="s">
        <v>31</v>
      </c>
      <c r="H73" s="10">
        <v>75</v>
      </c>
      <c r="I73" s="10">
        <f>F73-H73</f>
        <v>105</v>
      </c>
      <c r="J73" s="9" t="str">
        <f>TEXT(A73,"mmm yyyy")</f>
        <v>Jun 2026</v>
      </c>
    </row>
    <row r="74" spans="1:10" x14ac:dyDescent="0.2">
      <c r="A74" s="11">
        <v>46194</v>
      </c>
      <c r="B74" s="12" t="s">
        <v>27</v>
      </c>
      <c r="C74" s="12" t="s">
        <v>28</v>
      </c>
      <c r="D74" s="13">
        <v>1</v>
      </c>
      <c r="E74" s="14">
        <v>180</v>
      </c>
      <c r="F74" s="14">
        <f>D74*E74</f>
        <v>180</v>
      </c>
      <c r="G74" s="13" t="s">
        <v>31</v>
      </c>
      <c r="H74" s="14">
        <v>100</v>
      </c>
      <c r="I74" s="14">
        <f>F74-H74</f>
        <v>80</v>
      </c>
      <c r="J74" s="13" t="str">
        <f>TEXT(A74,"mmm yyyy")</f>
        <v>Jun 2026</v>
      </c>
    </row>
    <row r="75" spans="1:10" x14ac:dyDescent="0.2">
      <c r="A75" s="7">
        <v>46196</v>
      </c>
      <c r="B75" s="8" t="s">
        <v>39</v>
      </c>
      <c r="C75" s="8" t="s">
        <v>36</v>
      </c>
      <c r="D75" s="9">
        <v>1</v>
      </c>
      <c r="E75" s="10">
        <v>350</v>
      </c>
      <c r="F75" s="10">
        <f>D75*E75</f>
        <v>350</v>
      </c>
      <c r="G75" s="9" t="s">
        <v>31</v>
      </c>
      <c r="H75" s="10">
        <v>200</v>
      </c>
      <c r="I75" s="10">
        <f>F75-H75</f>
        <v>150</v>
      </c>
      <c r="J75" s="9" t="str">
        <f>TEXT(A75,"mmm yyyy")</f>
        <v>Jun 2026</v>
      </c>
    </row>
    <row r="76" spans="1:10" x14ac:dyDescent="0.2">
      <c r="A76" s="11">
        <v>46198</v>
      </c>
      <c r="B76" s="12" t="s">
        <v>42</v>
      </c>
      <c r="C76" s="12" t="s">
        <v>30</v>
      </c>
      <c r="D76" s="13">
        <v>3</v>
      </c>
      <c r="E76" s="14">
        <v>140</v>
      </c>
      <c r="F76" s="14">
        <f>D76*E76</f>
        <v>420</v>
      </c>
      <c r="G76" s="13" t="s">
        <v>26</v>
      </c>
      <c r="H76" s="14">
        <v>240</v>
      </c>
      <c r="I76" s="14">
        <f>F76-H76</f>
        <v>180</v>
      </c>
      <c r="J76" s="13" t="str">
        <f>TEXT(A76,"mmm yyyy")</f>
        <v>Jun 2026</v>
      </c>
    </row>
    <row r="77" spans="1:10" x14ac:dyDescent="0.2">
      <c r="A77" s="7">
        <v>46198</v>
      </c>
      <c r="B77" s="8" t="s">
        <v>32</v>
      </c>
      <c r="C77" s="8" t="s">
        <v>33</v>
      </c>
      <c r="D77" s="9">
        <v>3</v>
      </c>
      <c r="E77" s="10">
        <v>90</v>
      </c>
      <c r="F77" s="10">
        <f>D77*E77</f>
        <v>270</v>
      </c>
      <c r="G77" s="9" t="s">
        <v>26</v>
      </c>
      <c r="H77" s="10">
        <v>150</v>
      </c>
      <c r="I77" s="10">
        <f>F77-H77</f>
        <v>120</v>
      </c>
      <c r="J77" s="9" t="str">
        <f>TEXT(A77,"mmm yyyy")</f>
        <v>Jun 2026</v>
      </c>
    </row>
    <row r="78" spans="1:10" x14ac:dyDescent="0.2">
      <c r="A78" s="11">
        <v>46199</v>
      </c>
      <c r="B78" s="12" t="s">
        <v>41</v>
      </c>
      <c r="C78" s="12" t="s">
        <v>38</v>
      </c>
      <c r="D78" s="13">
        <v>2</v>
      </c>
      <c r="E78" s="14">
        <v>80</v>
      </c>
      <c r="F78" s="14">
        <f>D78*E78</f>
        <v>160</v>
      </c>
      <c r="G78" s="13" t="s">
        <v>26</v>
      </c>
      <c r="H78" s="14">
        <v>80</v>
      </c>
      <c r="I78" s="14">
        <f>F78-H78</f>
        <v>80</v>
      </c>
      <c r="J78" s="13" t="str">
        <f>TEXT(A78,"mmm yyyy")</f>
        <v>Jun 2026</v>
      </c>
    </row>
    <row r="79" spans="1:10" x14ac:dyDescent="0.2">
      <c r="A79" s="7">
        <v>46199</v>
      </c>
      <c r="B79" s="8" t="s">
        <v>42</v>
      </c>
      <c r="C79" s="8" t="s">
        <v>30</v>
      </c>
      <c r="D79" s="9">
        <v>3</v>
      </c>
      <c r="E79" s="10">
        <v>140</v>
      </c>
      <c r="F79" s="10">
        <f>D79*E79</f>
        <v>420</v>
      </c>
      <c r="G79" s="9" t="s">
        <v>31</v>
      </c>
      <c r="H79" s="10">
        <v>240</v>
      </c>
      <c r="I79" s="10">
        <f>F79-H79</f>
        <v>180</v>
      </c>
      <c r="J79" s="9" t="str">
        <f>TEXT(A79,"mmm yyyy")</f>
        <v>Jun 2026</v>
      </c>
    </row>
    <row r="80" spans="1:10" x14ac:dyDescent="0.2">
      <c r="A80" s="11">
        <v>46200</v>
      </c>
      <c r="B80" s="12" t="s">
        <v>29</v>
      </c>
      <c r="C80" s="12" t="s">
        <v>30</v>
      </c>
      <c r="D80" s="13">
        <v>2</v>
      </c>
      <c r="E80" s="14">
        <v>120</v>
      </c>
      <c r="F80" s="14">
        <f>D80*E80</f>
        <v>240</v>
      </c>
      <c r="G80" s="13" t="s">
        <v>31</v>
      </c>
      <c r="H80" s="14">
        <v>140</v>
      </c>
      <c r="I80" s="14">
        <f>F80-H80</f>
        <v>100</v>
      </c>
      <c r="J80" s="13" t="str">
        <f>TEXT(A80,"mmm yyyy")</f>
        <v>Jun 2026</v>
      </c>
    </row>
    <row r="81" spans="1:10" x14ac:dyDescent="0.2">
      <c r="A81" s="7">
        <v>46200</v>
      </c>
      <c r="B81" s="8" t="s">
        <v>39</v>
      </c>
      <c r="C81" s="8" t="s">
        <v>36</v>
      </c>
      <c r="D81" s="9">
        <v>4</v>
      </c>
      <c r="E81" s="10">
        <v>350</v>
      </c>
      <c r="F81" s="10">
        <f>D81*E81</f>
        <v>1400</v>
      </c>
      <c r="G81" s="9" t="s">
        <v>34</v>
      </c>
      <c r="H81" s="10">
        <v>800</v>
      </c>
      <c r="I81" s="10">
        <f>F81-H81</f>
        <v>600</v>
      </c>
      <c r="J81" s="9" t="str">
        <f>TEXT(A81,"mmm yyyy")</f>
        <v>Jun 2026</v>
      </c>
    </row>
    <row r="82" spans="1:10" x14ac:dyDescent="0.2">
      <c r="A82" s="11">
        <v>46201</v>
      </c>
      <c r="B82" s="12" t="s">
        <v>32</v>
      </c>
      <c r="C82" s="12" t="s">
        <v>33</v>
      </c>
      <c r="D82" s="13">
        <v>1</v>
      </c>
      <c r="E82" s="14">
        <v>90</v>
      </c>
      <c r="F82" s="14">
        <f>D82*E82</f>
        <v>90</v>
      </c>
      <c r="G82" s="13" t="s">
        <v>31</v>
      </c>
      <c r="H82" s="14">
        <v>50</v>
      </c>
      <c r="I82" s="14">
        <f>F82-H82</f>
        <v>40</v>
      </c>
      <c r="J82" s="13" t="str">
        <f>TEXT(A82,"mmm yyyy")</f>
        <v>Jun 2026</v>
      </c>
    </row>
    <row r="83" spans="1:10" x14ac:dyDescent="0.2">
      <c r="A83" s="7">
        <v>46201</v>
      </c>
      <c r="B83" s="8" t="s">
        <v>42</v>
      </c>
      <c r="C83" s="8" t="s">
        <v>30</v>
      </c>
      <c r="D83" s="9">
        <v>3</v>
      </c>
      <c r="E83" s="10">
        <v>140</v>
      </c>
      <c r="F83" s="10">
        <f>D83*E83</f>
        <v>420</v>
      </c>
      <c r="G83" s="9" t="s">
        <v>26</v>
      </c>
      <c r="H83" s="10">
        <v>240</v>
      </c>
      <c r="I83" s="10">
        <f>F83-H83</f>
        <v>180</v>
      </c>
      <c r="J83" s="9" t="str">
        <f>TEXT(A83,"mmm yyyy")</f>
        <v>Jun 2026</v>
      </c>
    </row>
  </sheetData>
  <mergeCells count="2">
    <mergeCell ref="A1:J1"/>
    <mergeCell ref="A2:J2"/>
  </mergeCells>
  <conditionalFormatting sqref="G5:G83">
    <cfRule type="expression" dxfId="4" priority="2">
      <formula>$G5="MoMo"</formula>
    </cfRule>
    <cfRule type="expression" dxfId="3" priority="3">
      <formula>$G5="Cash"</formula>
    </cfRule>
    <cfRule type="expression" dxfId="2" priority="4">
      <formula>$G5="Bank Transfer"</formula>
    </cfRule>
  </conditionalFormatting>
  <dataValidations count="3">
    <dataValidation type="list" allowBlank="1" sqref="G5:G1083" xr:uid="{00000000-0002-0000-0100-000000000000}">
      <formula1>"Cash,MoMo,Bank Transfer"</formula1>
      <formula2>0</formula2>
    </dataValidation>
    <dataValidation type="list" allowBlank="1" sqref="C5:C1083" xr:uid="{00000000-0002-0000-0100-000001000000}">
      <formula1>"Accessories,Dresses,Kids Wear,Shirts,Traditional Wear,Trousers"</formula1>
      <formula2>0</formula2>
    </dataValidation>
    <dataValidation type="list" allowBlank="1" sqref="B5:B1083" xr:uid="{00000000-0002-0000-0100-000002000000}">
      <formula1>"Ankara Dress,Men's Shirt,Kaba &amp; Slit Set,Men's Trousers,Kids Ankara Outfit,Leather Sandals,Ladies Handbag,Silk Scarf,Smock (Fugu),Denim Jeans"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227"/>
  </sheetPr>
  <dimension ref="A1:F1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7421875" defaultRowHeight="15" x14ac:dyDescent="0.2"/>
  <cols>
    <col min="1" max="1" width="20.04296875" customWidth="1"/>
    <col min="2" max="3" width="11.97265625" customWidth="1"/>
    <col min="4" max="5" width="14.9296875" customWidth="1"/>
    <col min="6" max="6" width="18.0234375" customWidth="1"/>
  </cols>
  <sheetData>
    <row r="1" spans="1:6" ht="21" x14ac:dyDescent="0.3">
      <c r="A1" s="22" t="s">
        <v>43</v>
      </c>
      <c r="B1" s="22"/>
      <c r="C1" s="22"/>
      <c r="D1" s="22"/>
      <c r="E1" s="22"/>
      <c r="F1" s="22"/>
    </row>
    <row r="2" spans="1:6" x14ac:dyDescent="0.2">
      <c r="A2" s="23" t="s">
        <v>44</v>
      </c>
      <c r="B2" s="23"/>
      <c r="C2" s="23"/>
      <c r="D2" s="23"/>
      <c r="E2" s="23"/>
      <c r="F2" s="23"/>
    </row>
    <row r="4" spans="1:6" ht="30" customHeight="1" x14ac:dyDescent="0.2">
      <c r="A4" s="6" t="s">
        <v>15</v>
      </c>
      <c r="B4" s="6" t="s">
        <v>45</v>
      </c>
      <c r="C4" s="6" t="s">
        <v>46</v>
      </c>
      <c r="D4" s="6" t="s">
        <v>47</v>
      </c>
      <c r="E4" s="6" t="s">
        <v>48</v>
      </c>
      <c r="F4" s="6" t="s">
        <v>49</v>
      </c>
    </row>
    <row r="5" spans="1:6" x14ac:dyDescent="0.2">
      <c r="A5" s="8" t="s">
        <v>27</v>
      </c>
      <c r="B5" s="9">
        <v>40</v>
      </c>
      <c r="C5" s="9">
        <v>33</v>
      </c>
      <c r="D5" s="9">
        <f>B5-C5</f>
        <v>7</v>
      </c>
      <c r="E5" s="9">
        <v>8</v>
      </c>
      <c r="F5" s="9" t="str">
        <f>IF(D5&lt;E5,"Restock Needed","OK")</f>
        <v>Restock Needed</v>
      </c>
    </row>
    <row r="6" spans="1:6" x14ac:dyDescent="0.2">
      <c r="A6" s="8" t="s">
        <v>32</v>
      </c>
      <c r="B6" s="9">
        <v>60</v>
      </c>
      <c r="C6" s="9">
        <v>45</v>
      </c>
      <c r="D6" s="9">
        <f>B6-C6</f>
        <v>15</v>
      </c>
      <c r="E6" s="9">
        <v>15</v>
      </c>
      <c r="F6" s="9" t="str">
        <f>IF(D6&lt;E6,"Restock Needed","OK")</f>
        <v>OK</v>
      </c>
    </row>
    <row r="7" spans="1:6" x14ac:dyDescent="0.2">
      <c r="A7" s="8" t="s">
        <v>39</v>
      </c>
      <c r="B7" s="9">
        <v>15</v>
      </c>
      <c r="C7" s="9">
        <v>13</v>
      </c>
      <c r="D7" s="9">
        <f>B7-C7</f>
        <v>2</v>
      </c>
      <c r="E7" s="9">
        <v>5</v>
      </c>
      <c r="F7" s="9" t="str">
        <f>IF(D7&lt;E7,"Restock Needed","OK")</f>
        <v>Restock Needed</v>
      </c>
    </row>
    <row r="8" spans="1:6" x14ac:dyDescent="0.2">
      <c r="A8" s="8" t="s">
        <v>29</v>
      </c>
      <c r="B8" s="9">
        <v>35</v>
      </c>
      <c r="C8" s="9">
        <v>20</v>
      </c>
      <c r="D8" s="9">
        <f>B8-C8</f>
        <v>15</v>
      </c>
      <c r="E8" s="9">
        <v>10</v>
      </c>
      <c r="F8" s="9" t="str">
        <f>IF(D8&lt;E8,"Restock Needed","OK")</f>
        <v>OK</v>
      </c>
    </row>
    <row r="9" spans="1:6" x14ac:dyDescent="0.2">
      <c r="A9" s="8" t="s">
        <v>24</v>
      </c>
      <c r="B9" s="9">
        <v>30</v>
      </c>
      <c r="C9" s="9">
        <v>26</v>
      </c>
      <c r="D9" s="9">
        <f>B9-C9</f>
        <v>4</v>
      </c>
      <c r="E9" s="9">
        <v>8</v>
      </c>
      <c r="F9" s="9" t="str">
        <f>IF(D9&lt;E9,"Restock Needed","OK")</f>
        <v>Restock Needed</v>
      </c>
    </row>
    <row r="10" spans="1:6" x14ac:dyDescent="0.2">
      <c r="A10" s="8" t="s">
        <v>41</v>
      </c>
      <c r="B10" s="9">
        <v>25</v>
      </c>
      <c r="C10" s="9">
        <v>24</v>
      </c>
      <c r="D10" s="9">
        <f>B10-C10</f>
        <v>1</v>
      </c>
      <c r="E10" s="9">
        <v>6</v>
      </c>
      <c r="F10" s="9" t="str">
        <f>IF(D10&lt;E10,"Restock Needed","OK")</f>
        <v>Restock Needed</v>
      </c>
    </row>
    <row r="11" spans="1:6" x14ac:dyDescent="0.2">
      <c r="A11" s="8" t="s">
        <v>40</v>
      </c>
      <c r="B11" s="9">
        <v>20</v>
      </c>
      <c r="C11" s="9">
        <v>12</v>
      </c>
      <c r="D11" s="9">
        <f>B11-C11</f>
        <v>8</v>
      </c>
      <c r="E11" s="9">
        <v>6</v>
      </c>
      <c r="F11" s="9" t="str">
        <f>IF(D11&lt;E11,"Restock Needed","OK")</f>
        <v>OK</v>
      </c>
    </row>
    <row r="12" spans="1:6" x14ac:dyDescent="0.2">
      <c r="A12" s="8" t="s">
        <v>37</v>
      </c>
      <c r="B12" s="9">
        <v>50</v>
      </c>
      <c r="C12" s="9">
        <v>30</v>
      </c>
      <c r="D12" s="9">
        <f>B12-C12</f>
        <v>20</v>
      </c>
      <c r="E12" s="9">
        <v>12</v>
      </c>
      <c r="F12" s="9" t="str">
        <f>IF(D12&lt;E12,"Restock Needed","OK")</f>
        <v>OK</v>
      </c>
    </row>
    <row r="13" spans="1:6" x14ac:dyDescent="0.2">
      <c r="A13" s="8" t="s">
        <v>35</v>
      </c>
      <c r="B13" s="9">
        <v>12</v>
      </c>
      <c r="C13" s="9">
        <v>10</v>
      </c>
      <c r="D13" s="9">
        <f>B13-C13</f>
        <v>2</v>
      </c>
      <c r="E13" s="9">
        <v>4</v>
      </c>
      <c r="F13" s="9" t="str">
        <f>IF(D13&lt;E13,"Restock Needed","OK")</f>
        <v>Restock Needed</v>
      </c>
    </row>
    <row r="14" spans="1:6" x14ac:dyDescent="0.2">
      <c r="A14" s="8" t="s">
        <v>42</v>
      </c>
      <c r="B14" s="9">
        <v>28</v>
      </c>
      <c r="C14" s="9">
        <v>19</v>
      </c>
      <c r="D14" s="9">
        <f>B14-C14</f>
        <v>9</v>
      </c>
      <c r="E14" s="9">
        <v>8</v>
      </c>
      <c r="F14" s="9" t="str">
        <f>IF(D14&lt;E14,"Restock Needed","OK")</f>
        <v>OK</v>
      </c>
    </row>
  </sheetData>
  <mergeCells count="2">
    <mergeCell ref="A1:F1"/>
    <mergeCell ref="A2:F2"/>
  </mergeCells>
  <conditionalFormatting sqref="A5:F14">
    <cfRule type="expression" dxfId="1" priority="2">
      <formula>$F5="Restock Needed"</formula>
    </cfRule>
    <cfRule type="expression" dxfId="0" priority="3">
      <formula>$F5="OK"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2A44"/>
  </sheetPr>
  <dimension ref="A1:L29"/>
  <sheetViews>
    <sheetView showGridLines="0" tabSelected="1" topLeftCell="F1" zoomScaleNormal="100" workbookViewId="0">
      <selection activeCell="J5" sqref="J5:K6"/>
    </sheetView>
  </sheetViews>
  <sheetFormatPr defaultColWidth="8.7421875" defaultRowHeight="15" x14ac:dyDescent="0.2"/>
  <cols>
    <col min="1" max="1" width="14.9296875" customWidth="1"/>
    <col min="2" max="4" width="13.98828125" customWidth="1"/>
    <col min="5" max="5" width="18.0234375" customWidth="1"/>
    <col min="6" max="6" width="13.98828125" customWidth="1"/>
    <col min="7" max="7" width="14.9296875" customWidth="1"/>
    <col min="8" max="8" width="2.95703125" customWidth="1"/>
    <col min="9" max="9" width="20.04296875" hidden="1" customWidth="1"/>
    <col min="10" max="10" width="9.953125" hidden="1" customWidth="1"/>
    <col min="11" max="12" width="4.9765625" customWidth="1"/>
  </cols>
  <sheetData>
    <row r="1" spans="1:12" ht="21" x14ac:dyDescent="0.3">
      <c r="A1" s="22" t="s">
        <v>50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x14ac:dyDescent="0.2">
      <c r="A2" s="23" t="s">
        <v>51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spans="1:12" ht="19.5" customHeight="1" x14ac:dyDescent="0.2">
      <c r="A4" s="28" t="s">
        <v>52</v>
      </c>
      <c r="B4" s="28"/>
      <c r="D4" s="28" t="s">
        <v>53</v>
      </c>
      <c r="E4" s="28"/>
      <c r="G4" s="28" t="s">
        <v>54</v>
      </c>
      <c r="H4" s="28"/>
      <c r="J4" s="28" t="s">
        <v>55</v>
      </c>
      <c r="K4" s="28"/>
    </row>
    <row r="5" spans="1:12" ht="30" customHeight="1" x14ac:dyDescent="0.2">
      <c r="A5" s="26">
        <f>SUM('Sales Tracker'!F5:F83)</f>
        <v>27360</v>
      </c>
      <c r="B5" s="26"/>
      <c r="D5" s="26">
        <f>SUM('Sales Tracker'!I5:I83)</f>
        <v>12260</v>
      </c>
      <c r="E5" s="26"/>
      <c r="G5" s="26">
        <f>SUM('Sales Tracker'!H5:H83)</f>
        <v>15100</v>
      </c>
      <c r="H5" s="26"/>
      <c r="J5" s="27">
        <f>D5/A5</f>
        <v>0.44809941520467839</v>
      </c>
      <c r="K5" s="27"/>
    </row>
    <row r="6" spans="1:12" ht="6" customHeight="1" x14ac:dyDescent="0.2">
      <c r="A6" s="26"/>
      <c r="B6" s="26"/>
      <c r="D6" s="26"/>
      <c r="E6" s="26"/>
      <c r="G6" s="26"/>
      <c r="H6" s="26"/>
      <c r="J6" s="27"/>
      <c r="K6" s="27"/>
    </row>
    <row r="9" spans="1:12" x14ac:dyDescent="0.2">
      <c r="A9" s="24" t="s">
        <v>56</v>
      </c>
      <c r="B9" s="24"/>
      <c r="C9" s="24"/>
      <c r="E9" s="24" t="s">
        <v>57</v>
      </c>
      <c r="F9" s="24"/>
      <c r="G9" s="24"/>
      <c r="I9" s="15" t="s">
        <v>58</v>
      </c>
    </row>
    <row r="10" spans="1:12" x14ac:dyDescent="0.2">
      <c r="A10" s="6" t="s">
        <v>23</v>
      </c>
      <c r="B10" s="6" t="s">
        <v>59</v>
      </c>
      <c r="C10" s="6" t="s">
        <v>22</v>
      </c>
      <c r="E10" s="6" t="s">
        <v>15</v>
      </c>
      <c r="F10" s="6" t="s">
        <v>60</v>
      </c>
      <c r="G10" s="6" t="s">
        <v>59</v>
      </c>
      <c r="I10" s="16" t="s">
        <v>27</v>
      </c>
      <c r="J10" s="16">
        <f>SUMIF('Sales Tracker'!$B$5:$B$83,I10,'Sales Tracker'!$D$5:$D$83)</f>
        <v>28</v>
      </c>
    </row>
    <row r="11" spans="1:12" x14ac:dyDescent="0.2">
      <c r="A11" s="8" t="s">
        <v>61</v>
      </c>
      <c r="B11" s="17">
        <f>SUMIF('Sales Tracker'!$J$5:$J$83,A11,'Sales Tracker'!$F$5:$F$83)</f>
        <v>14090</v>
      </c>
      <c r="C11" s="17">
        <f>SUMIF('Sales Tracker'!$J$5:$J$83,A11,'Sales Tracker'!$I$5:$I$83)</f>
        <v>6315</v>
      </c>
      <c r="E11" s="18" t="str">
        <f>INDEX($I$10:$I$19,MATCH(F11,$J$10:$J$19,0))</f>
        <v>Ankara Dress</v>
      </c>
      <c r="F11" s="9">
        <f>LARGE($J$10:$J$19,1)</f>
        <v>28</v>
      </c>
      <c r="G11" s="19">
        <f>SUMIF('Sales Tracker'!$B$5:$B$83,E11,'Sales Tracker'!$F$5:$F$83)</f>
        <v>5040</v>
      </c>
      <c r="I11" s="16" t="s">
        <v>32</v>
      </c>
      <c r="J11" s="16">
        <f>SUMIF('Sales Tracker'!$B$5:$B$83,I11,'Sales Tracker'!$D$5:$D$83)</f>
        <v>18</v>
      </c>
    </row>
    <row r="12" spans="1:12" x14ac:dyDescent="0.2">
      <c r="A12" s="8" t="s">
        <v>62</v>
      </c>
      <c r="B12" s="17">
        <f>SUMIF('Sales Tracker'!$J$5:$J$83,A12,'Sales Tracker'!$F$5:$F$83)</f>
        <v>13270</v>
      </c>
      <c r="C12" s="17">
        <f>SUMIF('Sales Tracker'!$J$5:$J$83,A12,'Sales Tracker'!$I$5:$I$83)</f>
        <v>5945</v>
      </c>
      <c r="E12" s="18" t="str">
        <f>INDEX($I$10:$I$19,MATCH(F12,$J$10:$J$19,0))</f>
        <v>Silk Scarf</v>
      </c>
      <c r="F12" s="9">
        <f>LARGE($J$10:$J$19,2)</f>
        <v>27</v>
      </c>
      <c r="G12" s="19">
        <f>SUMIF('Sales Tracker'!$B$5:$B$83,E12,'Sales Tracker'!$F$5:$F$83)</f>
        <v>1620</v>
      </c>
      <c r="I12" s="16" t="s">
        <v>39</v>
      </c>
      <c r="J12" s="16">
        <f>SUMIF('Sales Tracker'!$B$5:$B$83,I12,'Sales Tracker'!$D$5:$D$83)</f>
        <v>20</v>
      </c>
    </row>
    <row r="13" spans="1:12" x14ac:dyDescent="0.2">
      <c r="E13" s="18" t="str">
        <f>INDEX($I$10:$I$19,MATCH(F13,$J$10:$J$19,0))</f>
        <v>Men's Trousers</v>
      </c>
      <c r="F13" s="9">
        <f>LARGE($J$10:$J$19,3)</f>
        <v>23</v>
      </c>
      <c r="G13" s="19">
        <f>SUMIF('Sales Tracker'!$B$5:$B$83,E13,'Sales Tracker'!$F$5:$F$83)</f>
        <v>2760</v>
      </c>
      <c r="I13" s="16" t="s">
        <v>29</v>
      </c>
      <c r="J13" s="16">
        <f>SUMIF('Sales Tracker'!$B$5:$B$83,I13,'Sales Tracker'!$D$5:$D$83)</f>
        <v>23</v>
      </c>
    </row>
    <row r="14" spans="1:12" x14ac:dyDescent="0.2">
      <c r="E14" s="18" t="str">
        <f>INDEX($I$10:$I$19,MATCH(F14,$J$10:$J$19,0))</f>
        <v>Kids Ankara Outfit</v>
      </c>
      <c r="F14" s="9">
        <f>LARGE($J$10:$J$19,4)</f>
        <v>21</v>
      </c>
      <c r="G14" s="19">
        <f>SUMIF('Sales Tracker'!$B$5:$B$83,E14,'Sales Tracker'!$F$5:$F$83)</f>
        <v>2100</v>
      </c>
      <c r="I14" s="16" t="s">
        <v>24</v>
      </c>
      <c r="J14" s="16">
        <f>SUMIF('Sales Tracker'!$B$5:$B$83,I14,'Sales Tracker'!$D$5:$D$83)</f>
        <v>21</v>
      </c>
    </row>
    <row r="15" spans="1:12" x14ac:dyDescent="0.2">
      <c r="E15" s="18" t="str">
        <f>INDEX($I$10:$I$19,MATCH(F15,$J$10:$J$19,0))</f>
        <v>Kaba &amp; Slit Set</v>
      </c>
      <c r="F15" s="9">
        <f>LARGE($J$10:$J$19,5)</f>
        <v>20</v>
      </c>
      <c r="G15" s="19">
        <f>SUMIF('Sales Tracker'!$B$5:$B$83,E15,'Sales Tracker'!$F$5:$F$83)</f>
        <v>7000</v>
      </c>
      <c r="I15" s="16" t="s">
        <v>41</v>
      </c>
      <c r="J15" s="16">
        <f>SUMIF('Sales Tracker'!$B$5:$B$83,I15,'Sales Tracker'!$D$5:$D$83)</f>
        <v>12</v>
      </c>
    </row>
    <row r="16" spans="1:12" x14ac:dyDescent="0.2">
      <c r="I16" t="s">
        <v>40</v>
      </c>
      <c r="J16">
        <f>SUMIF('Sales Tracker'!$B$5:$B$83,I16,'Sales Tracker'!$D$5:$D$83)</f>
        <v>12</v>
      </c>
    </row>
    <row r="17" spans="1:10" x14ac:dyDescent="0.2">
      <c r="I17" t="s">
        <v>37</v>
      </c>
      <c r="J17">
        <f>SUMIF('Sales Tracker'!$B$5:$B$83,I17,'Sales Tracker'!$D$5:$D$83)</f>
        <v>27</v>
      </c>
    </row>
    <row r="18" spans="1:10" x14ac:dyDescent="0.2">
      <c r="A18" s="24" t="s">
        <v>63</v>
      </c>
      <c r="B18" s="24"/>
      <c r="C18" s="24"/>
      <c r="E18" s="25" t="s">
        <v>64</v>
      </c>
      <c r="F18" s="25"/>
      <c r="G18" s="25"/>
      <c r="I18" s="16" t="s">
        <v>35</v>
      </c>
      <c r="J18" s="16">
        <f>SUMIF('Sales Tracker'!$B$5:$B$83,I18,'Sales Tracker'!$D$5:$D$83)</f>
        <v>10</v>
      </c>
    </row>
    <row r="19" spans="1:10" ht="27.75" x14ac:dyDescent="0.2">
      <c r="A19" s="6" t="s">
        <v>20</v>
      </c>
      <c r="B19" s="6" t="s">
        <v>19</v>
      </c>
      <c r="E19" s="6" t="s">
        <v>15</v>
      </c>
      <c r="F19" s="6" t="s">
        <v>47</v>
      </c>
      <c r="G19" s="6" t="s">
        <v>48</v>
      </c>
      <c r="I19" s="16" t="s">
        <v>42</v>
      </c>
      <c r="J19" s="16">
        <f>SUMIF('Sales Tracker'!$B$5:$B$83,I19,'Sales Tracker'!$D$5:$D$83)</f>
        <v>14</v>
      </c>
    </row>
    <row r="20" spans="1:10" x14ac:dyDescent="0.2">
      <c r="A20" s="8" t="s">
        <v>31</v>
      </c>
      <c r="B20" s="17">
        <f>SUMIF('Sales Tracker'!$G$5:$G$83,A20,'Sales Tracker'!$F$5:$F$83)</f>
        <v>9400</v>
      </c>
      <c r="E20" s="20" t="str">
        <f>IF(Inventory!F5="Restock Needed",Inventory!A5,"")</f>
        <v>Ankara Dress</v>
      </c>
      <c r="F20" s="21">
        <f>IF(Inventory!F5="Restock Needed",Inventory!D5,"")</f>
        <v>7</v>
      </c>
      <c r="G20" s="21">
        <f>IF(Inventory!F5="Restock Needed",Inventory!E5,"")</f>
        <v>8</v>
      </c>
    </row>
    <row r="21" spans="1:10" x14ac:dyDescent="0.2">
      <c r="A21" s="8" t="s">
        <v>26</v>
      </c>
      <c r="B21" s="17">
        <f>SUMIF('Sales Tracker'!$G$5:$G$83,A21,'Sales Tracker'!$F$5:$F$83)</f>
        <v>10820</v>
      </c>
      <c r="E21" s="20" t="str">
        <f>IF(Inventory!F6="Restock Needed",Inventory!A6,"")</f>
        <v/>
      </c>
      <c r="F21" s="21" t="str">
        <f>IF(Inventory!F6="Restock Needed",Inventory!D6,"")</f>
        <v/>
      </c>
      <c r="G21" s="21" t="str">
        <f>IF(Inventory!F6="Restock Needed",Inventory!E6,"")</f>
        <v/>
      </c>
    </row>
    <row r="22" spans="1:10" x14ac:dyDescent="0.2">
      <c r="A22" s="8" t="s">
        <v>34</v>
      </c>
      <c r="B22" s="17">
        <f>SUMIF('Sales Tracker'!$G$5:$G$83,A22,'Sales Tracker'!$F$5:$F$83)</f>
        <v>7140</v>
      </c>
      <c r="E22" s="20" t="str">
        <f>IF(Inventory!F7="Restock Needed",Inventory!A7,"")</f>
        <v>Kaba &amp; Slit Set</v>
      </c>
      <c r="F22" s="21">
        <f>IF(Inventory!F7="Restock Needed",Inventory!D7,"")</f>
        <v>2</v>
      </c>
      <c r="G22" s="21">
        <f>IF(Inventory!F7="Restock Needed",Inventory!E7,"")</f>
        <v>5</v>
      </c>
    </row>
    <row r="23" spans="1:10" x14ac:dyDescent="0.2">
      <c r="E23" s="20" t="str">
        <f>IF(Inventory!F8="Restock Needed",Inventory!A8,"")</f>
        <v/>
      </c>
      <c r="F23" s="21" t="str">
        <f>IF(Inventory!F8="Restock Needed",Inventory!D8,"")</f>
        <v/>
      </c>
      <c r="G23" s="21" t="str">
        <f>IF(Inventory!F8="Restock Needed",Inventory!E8,"")</f>
        <v/>
      </c>
    </row>
    <row r="24" spans="1:10" x14ac:dyDescent="0.2">
      <c r="E24" s="20" t="str">
        <f>IF(Inventory!F9="Restock Needed",Inventory!A9,"")</f>
        <v>Kids Ankara Outfit</v>
      </c>
      <c r="F24" s="21">
        <f>IF(Inventory!F9="Restock Needed",Inventory!D9,"")</f>
        <v>4</v>
      </c>
      <c r="G24" s="21">
        <f>IF(Inventory!F9="Restock Needed",Inventory!E9,"")</f>
        <v>8</v>
      </c>
    </row>
    <row r="25" spans="1:10" x14ac:dyDescent="0.2">
      <c r="E25" s="20" t="str">
        <f>IF(Inventory!F10="Restock Needed",Inventory!A10,"")</f>
        <v>Leather Sandals</v>
      </c>
      <c r="F25" s="21">
        <f>IF(Inventory!F10="Restock Needed",Inventory!D10,"")</f>
        <v>1</v>
      </c>
      <c r="G25" s="21">
        <f>IF(Inventory!F10="Restock Needed",Inventory!E10,"")</f>
        <v>6</v>
      </c>
    </row>
    <row r="26" spans="1:10" x14ac:dyDescent="0.2">
      <c r="E26" s="20" t="str">
        <f>IF(Inventory!F11="Restock Needed",Inventory!A11,"")</f>
        <v/>
      </c>
      <c r="F26" s="21" t="str">
        <f>IF(Inventory!F11="Restock Needed",Inventory!D11,"")</f>
        <v/>
      </c>
      <c r="G26" s="21" t="str">
        <f>IF(Inventory!F11="Restock Needed",Inventory!E11,"")</f>
        <v/>
      </c>
    </row>
    <row r="27" spans="1:10" x14ac:dyDescent="0.2">
      <c r="E27" s="20" t="str">
        <f>IF(Inventory!F12="Restock Needed",Inventory!A12,"")</f>
        <v/>
      </c>
      <c r="F27" s="21" t="str">
        <f>IF(Inventory!F12="Restock Needed",Inventory!D12,"")</f>
        <v/>
      </c>
      <c r="G27" s="21" t="str">
        <f>IF(Inventory!F12="Restock Needed",Inventory!E12,"")</f>
        <v/>
      </c>
    </row>
    <row r="28" spans="1:10" x14ac:dyDescent="0.2">
      <c r="E28" s="20" t="str">
        <f>IF(Inventory!F13="Restock Needed",Inventory!A13,"")</f>
        <v>Smock (Fugu)</v>
      </c>
      <c r="F28" s="21">
        <f>IF(Inventory!F13="Restock Needed",Inventory!D13,"")</f>
        <v>2</v>
      </c>
      <c r="G28" s="21">
        <f>IF(Inventory!F13="Restock Needed",Inventory!E13,"")</f>
        <v>4</v>
      </c>
    </row>
    <row r="29" spans="1:10" x14ac:dyDescent="0.2">
      <c r="E29" s="20" t="str">
        <f>IF(Inventory!F14="Restock Needed",Inventory!A14,"")</f>
        <v/>
      </c>
      <c r="F29" s="21" t="str">
        <f>IF(Inventory!F14="Restock Needed",Inventory!D14,"")</f>
        <v/>
      </c>
      <c r="G29" s="21" t="str">
        <f>IF(Inventory!F14="Restock Needed",Inventory!E14,"")</f>
        <v/>
      </c>
    </row>
  </sheetData>
  <mergeCells count="14">
    <mergeCell ref="J5:K6"/>
    <mergeCell ref="A9:C9"/>
    <mergeCell ref="E9:G9"/>
    <mergeCell ref="A1:L1"/>
    <mergeCell ref="A2:L2"/>
    <mergeCell ref="A4:B4"/>
    <mergeCell ref="D4:E4"/>
    <mergeCell ref="G4:H4"/>
    <mergeCell ref="J4:K4"/>
    <mergeCell ref="A18:C18"/>
    <mergeCell ref="E18:G18"/>
    <mergeCell ref="A5:B6"/>
    <mergeCell ref="D5:E6"/>
    <mergeCell ref="G5:H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Start Here</vt:lpstr>
      <vt:lpstr>Sales Tracker</vt:lpstr>
      <vt:lpstr>Inventory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1</cp:revision>
  <dcterms:created xsi:type="dcterms:W3CDTF">2026-07-06T22:57:22Z</dcterms:created>
  <dcterms:modified xsi:type="dcterms:W3CDTF">2026-07-06T22:57:25Z</dcterms:modified>
  <dc:language>en-US</dc:language>
</cp:coreProperties>
</file>