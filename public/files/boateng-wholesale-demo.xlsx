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ales Tracker" sheetId="2" state="visible" r:id="rId4"/>
    <sheet name="Inventory" sheetId="3" state="visible" r:id="rId5"/>
    <sheet name="Dashbo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<sst xmlns="http://schemas.openxmlformats.org/spreadsheetml/2006/main" count="317" uniqueCount="66">
  <si>
    <t xml:space="preserve">Boateng Provisions &amp; Wholesale</t>
  </si>
  <si>
    <t xml:space="preserve">Sales, Inventory &amp; Performance Tracker  —  Demo Template</t>
  </si>
  <si>
    <t xml:space="preserve">HOW THIS TEMPLATE WORKS</t>
  </si>
  <si>
    <t xml:space="preserve">1. Sales Tracker tab</t>
  </si>
  <si>
    <t xml:space="preserve">Record every sale here — one row per bag, carton or case sold. This is the ONLY tab you type new sales into.</t>
  </si>
  <si>
    <t xml:space="preserve">2. Inventory tab</t>
  </si>
  <si>
    <t xml:space="preserve">Track stock in/out per item. Any item below its reorder level turns RED automatically — so you never run out of fast-moving stock like rice, oil or sugar.</t>
  </si>
  <si>
    <t xml:space="preserve">3. Dashboard tab</t>
  </si>
  <si>
    <t xml:space="preserve">Everything here updates on its own from the two tabs above. Nothing to edit — just look and decide.</t>
  </si>
  <si>
    <t xml:space="preserve">Why this matters</t>
  </si>
  <si>
    <t xml:space="preserve">Wholesale shops usually give some customers goods on credit. Separating Cash, MoMo, Bank Transfer and Credit sales shows exactly how much money is truly in hand versus how much is still owed to you.</t>
  </si>
  <si>
    <t xml:space="preserve">Tip: duplicate this whole workbook for each new client, then just replace the sample rows with their real data.</t>
  </si>
  <si>
    <t xml:space="preserve">DAILY SALES &amp; MOMO TRACKER</t>
  </si>
  <si>
    <t xml:space="preserve">Enter one row per sale. Total Revenue and Profit calculate automatically.</t>
  </si>
  <si>
    <t xml:space="preserve">Date</t>
  </si>
  <si>
    <t xml:space="preserve">Item Name</t>
  </si>
  <si>
    <t xml:space="preserve">Category</t>
  </si>
  <si>
    <t xml:space="preserve">Quantity Sold</t>
  </si>
  <si>
    <t xml:space="preserve">Unit Price (GHS)</t>
  </si>
  <si>
    <t xml:space="preserve">Total Revenue (GHS)</t>
  </si>
  <si>
    <t xml:space="preserve">Payment Method</t>
  </si>
  <si>
    <t xml:space="preserve">Cost of Goods Sold (GHS)</t>
  </si>
  <si>
    <t xml:space="preserve">Profit (GHS)</t>
  </si>
  <si>
    <t xml:space="preserve">Month</t>
  </si>
  <si>
    <t xml:space="preserve">Tomato Paste (carton)</t>
  </si>
  <si>
    <t xml:space="preserve">Canned Goods</t>
  </si>
  <si>
    <t xml:space="preserve">MoMo</t>
  </si>
  <si>
    <t xml:space="preserve">Flour (50kg bag)</t>
  </si>
  <si>
    <t xml:space="preserve">Baking Essentials</t>
  </si>
  <si>
    <t xml:space="preserve">Bank Transfer</t>
  </si>
  <si>
    <t xml:space="preserve">Rice (50kg bag)</t>
  </si>
  <si>
    <t xml:space="preserve">Grains &amp; Cereals</t>
  </si>
  <si>
    <t xml:space="preserve">Sugar (50kg bag)</t>
  </si>
  <si>
    <t xml:space="preserve">Cash</t>
  </si>
  <si>
    <t xml:space="preserve">Bar Soap (carton)</t>
  </si>
  <si>
    <t xml:space="preserve">Household &amp; Toiletries</t>
  </si>
  <si>
    <t xml:space="preserve">Detergent Powder (carton)</t>
  </si>
  <si>
    <t xml:space="preserve">Credit (Owing)</t>
  </si>
  <si>
    <t xml:space="preserve">Vegetable Oil (25L gallon)</t>
  </si>
  <si>
    <t xml:space="preserve">Cooking Oils</t>
  </si>
  <si>
    <t xml:space="preserve">Sardines (carton)</t>
  </si>
  <si>
    <t xml:space="preserve">Salt (50kg bag)</t>
  </si>
  <si>
    <t xml:space="preserve">Evaporated Milk (carton)</t>
  </si>
  <si>
    <t xml:space="preserve">Dairy</t>
  </si>
  <si>
    <t xml:space="preserve">INVENTORY ALERT SYSTEM</t>
  </si>
  <si>
    <t xml:space="preserve">Rows turn RED automatically when Current Stock drops below Reorder Level.</t>
  </si>
  <si>
    <t xml:space="preserve">Stock In</t>
  </si>
  <si>
    <t xml:space="preserve">Stock Out</t>
  </si>
  <si>
    <t xml:space="preserve">Current Stock</t>
  </si>
  <si>
    <t xml:space="preserve">Reorder Level</t>
  </si>
  <si>
    <t xml:space="preserve">Status</t>
  </si>
  <si>
    <t xml:space="preserve">BOATENG PROVISIONS &amp; WHOLESALE — PERFORMANCE DASHBOARD</t>
  </si>
  <si>
    <t xml:space="preserve">Updates automatically from Sales Tracker and Inventory tabs.</t>
  </si>
  <si>
    <t xml:space="preserve">TOTAL REVENUE</t>
  </si>
  <si>
    <t xml:space="preserve">TOTAL PROFIT</t>
  </si>
  <si>
    <t xml:space="preserve">TOTAL COGS</t>
  </si>
  <si>
    <t xml:space="preserve">PROFIT MARGIN</t>
  </si>
  <si>
    <t xml:space="preserve">MONTHLY REVENUE VS PROFIT</t>
  </si>
  <si>
    <t xml:space="preserve">TOP 5 BEST-SELLING ITEMS (BY QTY)</t>
  </si>
  <si>
    <t xml:space="preserve">helper (qty by item)</t>
  </si>
  <si>
    <t xml:space="preserve">Revenue (GHS)</t>
  </si>
  <si>
    <t xml:space="preserve">Qty Sold</t>
  </si>
  <si>
    <t xml:space="preserve">May 2026</t>
  </si>
  <si>
    <t xml:space="preserve">Jun 2026</t>
  </si>
  <si>
    <t xml:space="preserve">PAYMENT METHOD SPLIT</t>
  </si>
  <si>
    <t xml:space="preserve">ITEMS NEEDING RESTOCK</t>
  </si>
</sst>
</file>

<file path=xl/styles.xml><?xml version="1.0" encoding="utf-8"?>
<styleSheet xmlns="http://schemas.openxmlformats.org/spreadsheetml/2006/main">
  <numFmts count="6">
    <numFmt numFmtId="164" formatCode="General"/>
    <numFmt numFmtId="165" formatCode="dd\-mmm\-yyyy"/>
    <numFmt numFmtId="166" formatCode="#,##0&quot; GHS&quot;"/>
    <numFmt numFmtId="167" formatCode="General"/>
    <numFmt numFmtId="168" formatCode="0.0%"/>
    <numFmt numFmtId="169" formatCode="#,##0"/>
  </numFmts>
  <fonts count="19">
    <font>
      <sz val="11"/>
      <color theme="1"/>
      <name val="Calibri"/>
      <family val="2"/>
      <charset val="1"/>
    </font>
    <font>
      <sz val="10"/>
      <name val="Arial"/>
      <family val="0"/>
    </font>
    <font>
      <sz val="10"/>
      <name val="Arial"/>
      <family val="0"/>
    </font>
    <font>
      <sz val="10"/>
      <name val="Arial"/>
      <family val="0"/>
    </font>
    <font>
      <b val="true"/>
      <sz val="24"/>
      <color rgb="FF1F2A44"/>
      <name val="Calibri"/>
      <family val="0"/>
      <charset val="1"/>
    </font>
    <font>
      <i val="true"/>
      <sz val="10"/>
      <color rgb="FF595959"/>
      <name val="Calibri"/>
      <family val="0"/>
      <charset val="1"/>
    </font>
    <font>
      <b val="true"/>
      <sz val="12"/>
      <color rgb="FFFFFFFF"/>
      <name val="Calibri"/>
      <family val="0"/>
      <charset val="1"/>
    </font>
    <font>
      <b val="true"/>
      <sz val="12"/>
      <color rgb="FF1F2A44"/>
      <name val="Calibri"/>
      <family val="0"/>
      <charset val="1"/>
    </font>
    <font>
      <sz val="11"/>
      <color rgb="FF333333"/>
      <name val="Calibri"/>
      <family val="0"/>
      <charset val="1"/>
    </font>
    <font>
      <b val="true"/>
      <sz val="16"/>
      <color rgb="FF1F2A44"/>
      <name val="Calibri"/>
      <family val="0"/>
      <charset val="1"/>
    </font>
    <font>
      <b val="true"/>
      <sz val="11"/>
      <color rgb="FFFFFFFF"/>
      <name val="Calibri"/>
      <family val="0"/>
      <charset val="1"/>
    </font>
    <font>
      <sz val="10"/>
      <name val="Calibri"/>
      <family val="0"/>
      <charset val="1"/>
    </font>
    <font>
      <b val="true"/>
      <sz val="10"/>
      <color rgb="FFFFFFFF"/>
      <name val="Calibri"/>
      <family val="0"/>
      <charset val="1"/>
    </font>
    <font>
      <b val="true"/>
      <sz val="18"/>
      <color rgb="FFFFFFFF"/>
      <name val="Calibri"/>
      <family val="0"/>
      <charset val="1"/>
    </font>
    <font>
      <i val="true"/>
      <sz val="8"/>
      <color rgb="FF595959"/>
      <name val="Cambria"/>
      <family val="0"/>
      <charset val="1"/>
    </font>
    <font>
      <b val="true"/>
      <sz val="10"/>
      <color rgb="FFC0392B"/>
      <name val="Calibri"/>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C9A227"/>
        <bgColor rgb="FF9BBB59"/>
      </patternFill>
    </fill>
    <fill>
      <patternFill patternType="solid">
        <fgColor rgb="FF1F2A44"/>
        <bgColor rgb="FF333333"/>
      </patternFill>
    </fill>
    <fill>
      <patternFill patternType="solid">
        <fgColor rgb="FFF2F2F2"/>
        <bgColor rgb="FFF9F9F9"/>
      </patternFill>
    </fill>
    <fill>
      <patternFill patternType="solid">
        <fgColor rgb="FFC0392B"/>
        <bgColor rgb="FFC0504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7" fontId="13" fillId="3" borderId="0" xfId="0" applyFont="true" applyBorder="true" applyAlignment="true" applyProtection="false">
      <alignment horizontal="center" vertical="center" textRotation="0" wrapText="false" indent="0" shrinkToFit="false"/>
      <protection locked="true" hidden="false"/>
    </xf>
    <xf numFmtId="168" fontId="13" fillId="3"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9" fontId="11" fillId="0" borderId="1" xfId="0" applyFont="true" applyBorder="true" applyAlignment="true" applyProtection="false">
      <alignment horizontal="center" vertical="bottom"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bottom" textRotation="0" wrapText="false" indent="0" shrinkToFit="false"/>
      <protection locked="true" hidden="false"/>
    </xf>
    <xf numFmtId="167" fontId="15"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6EAF8"/>
        </patternFill>
      </fill>
    </dxf>
    <dxf>
      <fill>
        <patternFill>
          <bgColor rgb="FFD5F5E3"/>
        </patternFill>
      </fill>
    </dxf>
    <dxf>
      <fill>
        <patternFill>
          <bgColor rgb="FFFBF3D9"/>
        </patternFill>
      </fill>
    </dxf>
    <dxf>
      <font>
        <name val="Calibri"/>
        <charset val="1"/>
        <family val="0"/>
        <b val="1"/>
        <color rgb="FF7B241C"/>
      </font>
      <fill>
        <patternFill>
          <bgColor rgb="FFF5B7B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392B"/>
      <rgbColor rgb="FFFBF3D9"/>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5F5E3"/>
      <rgbColor rgb="FFF9F9F9"/>
      <rgbColor rgb="FF99CCFF"/>
      <rgbColor rgb="FFFF99CC"/>
      <rgbColor rgb="FFCC99FF"/>
      <rgbColor rgb="FFF5B7B1"/>
      <rgbColor rgb="FF4F81BD"/>
      <rgbColor rgb="FF33CCCC"/>
      <rgbColor rgb="FF9BBB59"/>
      <rgbColor rgb="FFFFCC00"/>
      <rgbColor rgb="FFC9A227"/>
      <rgbColor rgb="FFFF6600"/>
      <rgbColor rgb="FF8064A2"/>
      <rgbColor rgb="FF969696"/>
      <rgbColor rgb="FF1F2A44"/>
      <rgbColor rgb="FF339966"/>
      <rgbColor rgb="FF003300"/>
      <rgbColor rgb="FF333300"/>
      <rgbColor rgb="FF7B241C"/>
      <rgbColor rgb="FFC0504D"/>
      <rgbColor rgb="FF59595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vs Profit</a:t>
            </a:r>
          </a:p>
        </c:rich>
      </c:tx>
      <c:overlay val="0"/>
      <c:spPr>
        <a:noFill/>
        <a:ln w="0">
          <a:noFill/>
        </a:ln>
      </c:spPr>
    </c:title>
    <c:autoTitleDeleted val="0"/>
    <c:plotArea>
      <c:barChart>
        <c:barDir val="col"/>
        <c:grouping val="clustered"/>
        <c:varyColors val="0"/>
        <c:ser>
          <c:idx val="0"/>
          <c:order val="0"/>
          <c:tx>
            <c:strRef>
              <c:f>Dashboard!B10</c:f>
              <c:strCache>
                <c:ptCount val="1"/>
                <c:pt idx="0">
                  <c:v>Revenue (GHS)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Dashboard!$A$11:$A$12</c:f>
              <c:strCache>
                <c:ptCount val="2"/>
                <c:pt idx="0">
                  <c:v>May 2026</c:v>
                </c:pt>
                <c:pt idx="1">
                  <c:v>Jun 2026</c:v>
                </c:pt>
              </c:strCache>
            </c:strRef>
          </c:cat>
          <c:val>
            <c:numRef>
              <c:f>Dashboard!$B$11:$B$12</c:f>
              <c:numCache>
                <c:formatCode>#,##0</c:formatCode>
                <c:ptCount val="2"/>
                <c:pt idx="0">
                  <c:v>71470</c:v>
                </c:pt>
                <c:pt idx="1">
                  <c:v>47420</c:v>
                </c:pt>
              </c:numCache>
            </c:numRef>
          </c:val>
        </c:ser>
        <c:ser>
          <c:idx val="1"/>
          <c:order val="1"/>
          <c:tx>
            <c:strRef>
              <c:f>Dashboard!C10</c:f>
              <c:strCache>
                <c:ptCount val="1"/>
                <c:pt idx="0">
                  <c:v>Profit (GHS)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Dashboard!$A$11:$A$12</c:f>
              <c:strCache>
                <c:ptCount val="2"/>
                <c:pt idx="0">
                  <c:v>May 2026</c:v>
                </c:pt>
                <c:pt idx="1">
                  <c:v>Jun 2026</c:v>
                </c:pt>
              </c:strCache>
            </c:strRef>
          </c:cat>
          <c:val>
            <c:numRef>
              <c:f>Dashboard!$C$11:$C$12</c:f>
              <c:numCache>
                <c:formatCode>#,##0</c:formatCode>
                <c:ptCount val="2"/>
                <c:pt idx="0">
                  <c:v>13340</c:v>
                </c:pt>
                <c:pt idx="1">
                  <c:v>9045</c:v>
                </c:pt>
              </c:numCache>
            </c:numRef>
          </c:val>
        </c:ser>
        <c:gapWidth val="150"/>
        <c:overlap val="0"/>
        <c:axId val="22097149"/>
        <c:axId val="83437082"/>
      </c:barChart>
      <c:catAx>
        <c:axId val="220971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437082"/>
        <c:crosses val="autoZero"/>
        <c:auto val="1"/>
        <c:lblAlgn val="ctr"/>
        <c:lblOffset val="100"/>
        <c:noMultiLvlLbl val="0"/>
      </c:catAx>
      <c:valAx>
        <c:axId val="834370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GHS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0971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5 Best-Selling Items (Qty Sold)</a:t>
            </a:r>
          </a:p>
        </c:rich>
      </c:tx>
      <c:overlay val="0"/>
      <c:spPr>
        <a:noFill/>
        <a:ln w="0">
          <a:noFill/>
        </a:ln>
      </c:spPr>
    </c:title>
    <c:autoTitleDeleted val="0"/>
    <c:plotArea>
      <c:barChart>
        <c:barDir val="bar"/>
        <c:grouping val="clustered"/>
        <c:varyColors val="0"/>
        <c:ser>
          <c:idx val="0"/>
          <c:order val="0"/>
          <c:tx>
            <c:strRef>
              <c:f>Dashboard!F10</c:f>
              <c:strCache>
                <c:ptCount val="1"/>
                <c:pt idx="0">
                  <c:v>Qty Sold</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Dashboard!$E$11:$E$15</c:f>
              <c:strCache>
                <c:ptCount val="5"/>
                <c:pt idx="0">
                  <c:v>Bar Soap (carton)</c:v>
                </c:pt>
                <c:pt idx="1">
                  <c:v>Rice (50kg bag)</c:v>
                </c:pt>
                <c:pt idx="2">
                  <c:v>Detergent Powder (carton)</c:v>
                </c:pt>
                <c:pt idx="3">
                  <c:v>Flour (50kg bag)</c:v>
                </c:pt>
                <c:pt idx="4">
                  <c:v>Sardines (carton)</c:v>
                </c:pt>
              </c:strCache>
            </c:strRef>
          </c:cat>
          <c:val>
            <c:numRef>
              <c:f>Dashboard!$F$11:$F$15</c:f>
              <c:numCache>
                <c:formatCode>General</c:formatCode>
                <c:ptCount val="5"/>
                <c:pt idx="0">
                  <c:v>51</c:v>
                </c:pt>
                <c:pt idx="1">
                  <c:v>50</c:v>
                </c:pt>
                <c:pt idx="2">
                  <c:v>42</c:v>
                </c:pt>
                <c:pt idx="3">
                  <c:v>38</c:v>
                </c:pt>
                <c:pt idx="4">
                  <c:v>34</c:v>
                </c:pt>
              </c:numCache>
            </c:numRef>
          </c:val>
        </c:ser>
        <c:gapWidth val="150"/>
        <c:overlap val="0"/>
        <c:axId val="9505672"/>
        <c:axId val="66047019"/>
      </c:barChart>
      <c:catAx>
        <c:axId val="95056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047019"/>
        <c:crosses val="autoZero"/>
        <c:auto val="1"/>
        <c:lblAlgn val="ctr"/>
        <c:lblOffset val="100"/>
        <c:noMultiLvlLbl val="0"/>
      </c:catAx>
      <c:valAx>
        <c:axId val="6604701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56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Payment Method Split</a:t>
            </a:r>
          </a:p>
        </c:rich>
      </c:tx>
      <c:overlay val="0"/>
      <c:spPr>
        <a:noFill/>
        <a:ln w="0">
          <a:noFill/>
        </a:ln>
      </c:spPr>
    </c:title>
    <c:autoTitleDeleted val="0"/>
    <c:plotArea>
      <c:pieChart>
        <c:varyColors val="1"/>
        <c:ser>
          <c:idx val="0"/>
          <c:order val="0"/>
          <c:tx>
            <c:strRef>
              <c:f>Dashboard!B19</c:f>
              <c:strCache>
                <c:ptCount val="1"/>
                <c:pt idx="0">
                  <c:v>Total Revenue (GHS)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Dashboard!$A$20:$A$23</c:f>
              <c:strCache>
                <c:ptCount val="4"/>
                <c:pt idx="0">
                  <c:v>Cash</c:v>
                </c:pt>
                <c:pt idx="1">
                  <c:v>MoMo</c:v>
                </c:pt>
                <c:pt idx="2">
                  <c:v>Bank Transfer</c:v>
                </c:pt>
                <c:pt idx="3">
                  <c:v>Credit (Owing)</c:v>
                </c:pt>
              </c:strCache>
            </c:strRef>
          </c:cat>
          <c:val>
            <c:numRef>
              <c:f>Dashboard!$B$20:$B$23</c:f>
              <c:numCache>
                <c:formatCode>#,##0</c:formatCode>
                <c:ptCount val="4"/>
                <c:pt idx="0">
                  <c:v>50720</c:v>
                </c:pt>
                <c:pt idx="1">
                  <c:v>37860</c:v>
                </c:pt>
                <c:pt idx="2">
                  <c:v>13880</c:v>
                </c:pt>
                <c:pt idx="3">
                  <c:v>16430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151920</xdr:rowOff>
    </xdr:from>
    <xdr:to>
      <xdr:col>5</xdr:col>
      <xdr:colOff>473400</xdr:colOff>
      <xdr:row>39</xdr:row>
      <xdr:rowOff>173880</xdr:rowOff>
    </xdr:to>
    <xdr:graphicFrame>
      <xdr:nvGraphicFramePr>
        <xdr:cNvPr id="0" name="Chart 1"/>
        <xdr:cNvGraphicFramePr/>
      </xdr:nvGraphicFramePr>
      <xdr:xfrm>
        <a:off x="0" y="508644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24</xdr:row>
      <xdr:rowOff>151920</xdr:rowOff>
    </xdr:from>
    <xdr:to>
      <xdr:col>14</xdr:col>
      <xdr:colOff>307440</xdr:colOff>
      <xdr:row>39</xdr:row>
      <xdr:rowOff>173880</xdr:rowOff>
    </xdr:to>
    <xdr:graphicFrame>
      <xdr:nvGraphicFramePr>
        <xdr:cNvPr id="1" name="Chart 2"/>
        <xdr:cNvGraphicFramePr/>
      </xdr:nvGraphicFramePr>
      <xdr:xfrm>
        <a:off x="4017600" y="508644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41</xdr:row>
      <xdr:rowOff>151920</xdr:rowOff>
    </xdr:from>
    <xdr:to>
      <xdr:col>4</xdr:col>
      <xdr:colOff>302040</xdr:colOff>
      <xdr:row>56</xdr:row>
      <xdr:rowOff>173880</xdr:rowOff>
    </xdr:to>
    <xdr:graphicFrame>
      <xdr:nvGraphicFramePr>
        <xdr:cNvPr id="2" name="Chart 3"/>
        <xdr:cNvGraphicFramePr/>
      </xdr:nvGraphicFramePr>
      <xdr:xfrm>
        <a:off x="0" y="832500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29.15" hidden="false" customHeight="false" outlineLevel="0" collapsed="false">
      <c r="B2" s="1" t="s">
        <v>0</v>
      </c>
    </row>
    <row r="3" customFormat="false" ht="15" hidden="false" customHeight="false" outlineLevel="0" collapsed="false">
      <c r="B3" s="2" t="s">
        <v>1</v>
      </c>
    </row>
    <row r="5" customFormat="false" ht="21.75" hidden="false" customHeight="true" outlineLevel="0" collapsed="false">
      <c r="B5" s="3" t="s">
        <v>2</v>
      </c>
    </row>
    <row r="7" customFormat="false" ht="15" hidden="false" customHeight="false" outlineLevel="0" collapsed="false">
      <c r="B7" s="4" t="s">
        <v>3</v>
      </c>
    </row>
    <row r="8" customFormat="false" ht="31.5" hidden="false" customHeight="true" outlineLevel="0" collapsed="false">
      <c r="B8" s="5" t="s">
        <v>4</v>
      </c>
    </row>
    <row r="10" customFormat="false" ht="15" hidden="false" customHeight="false" outlineLevel="0" collapsed="false">
      <c r="B10" s="4" t="s">
        <v>5</v>
      </c>
    </row>
    <row r="11" customFormat="false" ht="31.5" hidden="false" customHeight="true" outlineLevel="0" collapsed="false">
      <c r="B11" s="5" t="s">
        <v>6</v>
      </c>
    </row>
    <row r="13" customFormat="false" ht="15" hidden="false" customHeight="false" outlineLevel="0" collapsed="false">
      <c r="B13" s="4" t="s">
        <v>7</v>
      </c>
    </row>
    <row r="14" customFormat="false" ht="31.5" hidden="false" customHeight="true" outlineLevel="0" collapsed="false">
      <c r="B14" s="5" t="s">
        <v>8</v>
      </c>
    </row>
    <row r="16" customFormat="false" ht="15" hidden="false" customHeight="false" outlineLevel="0" collapsed="false">
      <c r="B16" s="4" t="s">
        <v>9</v>
      </c>
    </row>
    <row r="17" customFormat="false" ht="31.5" hidden="false" customHeight="true" outlineLevel="0" collapsed="false">
      <c r="B17" s="5" t="s">
        <v>10</v>
      </c>
    </row>
    <row r="20" customFormat="false" ht="15" hidden="false" customHeight="false" outlineLevel="0" collapsed="false">
      <c r="B20"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J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7"/>
    <col collapsed="false" customWidth="true" hidden="false" outlineLevel="0" max="4" min="4" style="0" width="13"/>
    <col collapsed="false" customWidth="true" hidden="false" outlineLevel="0" max="5" min="5" style="0" width="15"/>
    <col collapsed="false" customWidth="true" hidden="false" outlineLevel="0" max="6" min="6" style="0" width="16"/>
    <col collapsed="false" customWidth="true" hidden="false" outlineLevel="0" max="7" min="7" style="0" width="15"/>
    <col collapsed="false" customWidth="true" hidden="false" outlineLevel="0" max="8" min="8" style="0" width="20"/>
    <col collapsed="false" customWidth="true" hidden="false" outlineLevel="0" max="9" min="9" style="0" width="14"/>
    <col collapsed="false" customWidth="true" hidden="false" outlineLevel="0" max="10" min="10" style="0" width="12"/>
  </cols>
  <sheetData>
    <row r="1" customFormat="false" ht="19.7" hidden="false" customHeight="false" outlineLevel="0" collapsed="false">
      <c r="A1" s="6" t="s">
        <v>12</v>
      </c>
      <c r="B1" s="6"/>
      <c r="C1" s="6"/>
      <c r="D1" s="6"/>
      <c r="E1" s="6"/>
      <c r="F1" s="6"/>
      <c r="G1" s="6"/>
      <c r="H1" s="6"/>
      <c r="I1" s="6"/>
      <c r="J1" s="6"/>
    </row>
    <row r="2" customFormat="false" ht="15" hidden="false" customHeight="false" outlineLevel="0" collapsed="false">
      <c r="A2" s="7" t="s">
        <v>13</v>
      </c>
      <c r="B2" s="7"/>
      <c r="C2" s="7"/>
      <c r="D2" s="7"/>
      <c r="E2" s="7"/>
      <c r="F2" s="7"/>
      <c r="G2" s="7"/>
      <c r="H2" s="7"/>
      <c r="I2" s="7"/>
      <c r="J2" s="7"/>
    </row>
    <row r="4" customFormat="false" ht="30" hidden="false" customHeight="true" outlineLevel="0" collapsed="false">
      <c r="A4" s="8" t="s">
        <v>14</v>
      </c>
      <c r="B4" s="8" t="s">
        <v>15</v>
      </c>
      <c r="C4" s="8" t="s">
        <v>16</v>
      </c>
      <c r="D4" s="8" t="s">
        <v>17</v>
      </c>
      <c r="E4" s="8" t="s">
        <v>18</v>
      </c>
      <c r="F4" s="8" t="s">
        <v>19</v>
      </c>
      <c r="G4" s="8" t="s">
        <v>20</v>
      </c>
      <c r="H4" s="8" t="s">
        <v>21</v>
      </c>
      <c r="I4" s="8" t="s">
        <v>22</v>
      </c>
      <c r="J4" s="8" t="s">
        <v>23</v>
      </c>
    </row>
    <row r="5" customFormat="false" ht="15" hidden="false" customHeight="false" outlineLevel="0" collapsed="false">
      <c r="A5" s="9" t="n">
        <v>46143</v>
      </c>
      <c r="B5" s="10" t="s">
        <v>24</v>
      </c>
      <c r="C5" s="10" t="s">
        <v>25</v>
      </c>
      <c r="D5" s="11" t="n">
        <v>2</v>
      </c>
      <c r="E5" s="12" t="n">
        <v>340</v>
      </c>
      <c r="F5" s="12" t="n">
        <f aca="false">D5*E5</f>
        <v>680</v>
      </c>
      <c r="G5" s="11" t="s">
        <v>26</v>
      </c>
      <c r="H5" s="12" t="n">
        <v>540</v>
      </c>
      <c r="I5" s="12" t="n">
        <f aca="false">F5-H5</f>
        <v>140</v>
      </c>
      <c r="J5" s="11" t="str">
        <f aca="false">TEXT(A5,"mmm yyyy")</f>
        <v>May 2026</v>
      </c>
    </row>
    <row r="6" customFormat="false" ht="15" hidden="false" customHeight="false" outlineLevel="0" collapsed="false">
      <c r="A6" s="13" t="n">
        <v>46146</v>
      </c>
      <c r="B6" s="14" t="s">
        <v>27</v>
      </c>
      <c r="C6" s="14" t="s">
        <v>28</v>
      </c>
      <c r="D6" s="15" t="n">
        <v>2</v>
      </c>
      <c r="E6" s="16" t="n">
        <v>450</v>
      </c>
      <c r="F6" s="16" t="n">
        <f aca="false">D6*E6</f>
        <v>900</v>
      </c>
      <c r="G6" s="15" t="s">
        <v>29</v>
      </c>
      <c r="H6" s="16" t="n">
        <v>760</v>
      </c>
      <c r="I6" s="16" t="n">
        <f aca="false">F6-H6</f>
        <v>140</v>
      </c>
      <c r="J6" s="15" t="str">
        <f aca="false">TEXT(A6,"mmm yyyy")</f>
        <v>May 2026</v>
      </c>
    </row>
    <row r="7" customFormat="false" ht="15" hidden="false" customHeight="false" outlineLevel="0" collapsed="false">
      <c r="A7" s="9" t="n">
        <v>46146</v>
      </c>
      <c r="B7" s="10" t="s">
        <v>30</v>
      </c>
      <c r="C7" s="10" t="s">
        <v>31</v>
      </c>
      <c r="D7" s="11" t="n">
        <v>1</v>
      </c>
      <c r="E7" s="12" t="n">
        <v>520</v>
      </c>
      <c r="F7" s="12" t="n">
        <f aca="false">D7*E7</f>
        <v>520</v>
      </c>
      <c r="G7" s="11" t="s">
        <v>26</v>
      </c>
      <c r="H7" s="12" t="n">
        <v>440</v>
      </c>
      <c r="I7" s="12" t="n">
        <f aca="false">F7-H7</f>
        <v>80</v>
      </c>
      <c r="J7" s="11" t="str">
        <f aca="false">TEXT(A7,"mmm yyyy")</f>
        <v>May 2026</v>
      </c>
    </row>
    <row r="8" customFormat="false" ht="15" hidden="false" customHeight="false" outlineLevel="0" collapsed="false">
      <c r="A8" s="13" t="n">
        <v>46146</v>
      </c>
      <c r="B8" s="14" t="s">
        <v>32</v>
      </c>
      <c r="C8" s="14" t="s">
        <v>31</v>
      </c>
      <c r="D8" s="15" t="n">
        <v>5</v>
      </c>
      <c r="E8" s="16" t="n">
        <v>480</v>
      </c>
      <c r="F8" s="16" t="n">
        <f aca="false">D8*E8</f>
        <v>2400</v>
      </c>
      <c r="G8" s="15" t="s">
        <v>33</v>
      </c>
      <c r="H8" s="16" t="n">
        <v>2000</v>
      </c>
      <c r="I8" s="16" t="n">
        <f aca="false">F8-H8</f>
        <v>400</v>
      </c>
      <c r="J8" s="15" t="str">
        <f aca="false">TEXT(A8,"mmm yyyy")</f>
        <v>May 2026</v>
      </c>
    </row>
    <row r="9" customFormat="false" ht="15" hidden="false" customHeight="false" outlineLevel="0" collapsed="false">
      <c r="A9" s="9" t="n">
        <v>46147</v>
      </c>
      <c r="B9" s="10" t="s">
        <v>34</v>
      </c>
      <c r="C9" s="10" t="s">
        <v>35</v>
      </c>
      <c r="D9" s="11" t="n">
        <v>3</v>
      </c>
      <c r="E9" s="12" t="n">
        <v>220</v>
      </c>
      <c r="F9" s="12" t="n">
        <f aca="false">D9*E9</f>
        <v>660</v>
      </c>
      <c r="G9" s="11" t="s">
        <v>26</v>
      </c>
      <c r="H9" s="12" t="n">
        <v>495</v>
      </c>
      <c r="I9" s="12" t="n">
        <f aca="false">F9-H9</f>
        <v>165</v>
      </c>
      <c r="J9" s="11" t="str">
        <f aca="false">TEXT(A9,"mmm yyyy")</f>
        <v>May 2026</v>
      </c>
    </row>
    <row r="10" customFormat="false" ht="15" hidden="false" customHeight="false" outlineLevel="0" collapsed="false">
      <c r="A10" s="13" t="n">
        <v>46147</v>
      </c>
      <c r="B10" s="14" t="s">
        <v>36</v>
      </c>
      <c r="C10" s="14" t="s">
        <v>35</v>
      </c>
      <c r="D10" s="15" t="n">
        <v>5</v>
      </c>
      <c r="E10" s="16" t="n">
        <v>260</v>
      </c>
      <c r="F10" s="16" t="n">
        <f aca="false">D10*E10</f>
        <v>1300</v>
      </c>
      <c r="G10" s="15" t="s">
        <v>33</v>
      </c>
      <c r="H10" s="16" t="n">
        <v>1000</v>
      </c>
      <c r="I10" s="16" t="n">
        <f aca="false">F10-H10</f>
        <v>300</v>
      </c>
      <c r="J10" s="15" t="str">
        <f aca="false">TEXT(A10,"mmm yyyy")</f>
        <v>May 2026</v>
      </c>
    </row>
    <row r="11" customFormat="false" ht="15" hidden="false" customHeight="false" outlineLevel="0" collapsed="false">
      <c r="A11" s="9" t="n">
        <v>46147</v>
      </c>
      <c r="B11" s="10" t="s">
        <v>27</v>
      </c>
      <c r="C11" s="10" t="s">
        <v>28</v>
      </c>
      <c r="D11" s="11" t="n">
        <v>5</v>
      </c>
      <c r="E11" s="12" t="n">
        <v>450</v>
      </c>
      <c r="F11" s="12" t="n">
        <f aca="false">D11*E11</f>
        <v>2250</v>
      </c>
      <c r="G11" s="11" t="s">
        <v>37</v>
      </c>
      <c r="H11" s="12" t="n">
        <v>1900</v>
      </c>
      <c r="I11" s="12" t="n">
        <f aca="false">F11-H11</f>
        <v>350</v>
      </c>
      <c r="J11" s="11" t="str">
        <f aca="false">TEXT(A11,"mmm yyyy")</f>
        <v>May 2026</v>
      </c>
    </row>
    <row r="12" customFormat="false" ht="15" hidden="false" customHeight="false" outlineLevel="0" collapsed="false">
      <c r="A12" s="13" t="n">
        <v>46148</v>
      </c>
      <c r="B12" s="14" t="s">
        <v>38</v>
      </c>
      <c r="C12" s="14" t="s">
        <v>39</v>
      </c>
      <c r="D12" s="15" t="n">
        <v>5</v>
      </c>
      <c r="E12" s="16" t="n">
        <v>620</v>
      </c>
      <c r="F12" s="16" t="n">
        <f aca="false">D12*E12</f>
        <v>3100</v>
      </c>
      <c r="G12" s="15" t="s">
        <v>33</v>
      </c>
      <c r="H12" s="16" t="n">
        <v>2600</v>
      </c>
      <c r="I12" s="16" t="n">
        <f aca="false">F12-H12</f>
        <v>500</v>
      </c>
      <c r="J12" s="15" t="str">
        <f aca="false">TEXT(A12,"mmm yyyy")</f>
        <v>May 2026</v>
      </c>
    </row>
    <row r="13" customFormat="false" ht="15" hidden="false" customHeight="false" outlineLevel="0" collapsed="false">
      <c r="A13" s="9" t="n">
        <v>46149</v>
      </c>
      <c r="B13" s="10" t="s">
        <v>27</v>
      </c>
      <c r="C13" s="10" t="s">
        <v>28</v>
      </c>
      <c r="D13" s="11" t="n">
        <v>10</v>
      </c>
      <c r="E13" s="12" t="n">
        <v>450</v>
      </c>
      <c r="F13" s="12" t="n">
        <f aca="false">D13*E13</f>
        <v>4500</v>
      </c>
      <c r="G13" s="11" t="s">
        <v>33</v>
      </c>
      <c r="H13" s="12" t="n">
        <v>3800</v>
      </c>
      <c r="I13" s="12" t="n">
        <f aca="false">F13-H13</f>
        <v>700</v>
      </c>
      <c r="J13" s="11" t="str">
        <f aca="false">TEXT(A13,"mmm yyyy")</f>
        <v>May 2026</v>
      </c>
    </row>
    <row r="14" customFormat="false" ht="15" hidden="false" customHeight="false" outlineLevel="0" collapsed="false">
      <c r="A14" s="13" t="n">
        <v>46151</v>
      </c>
      <c r="B14" s="14" t="s">
        <v>30</v>
      </c>
      <c r="C14" s="14" t="s">
        <v>31</v>
      </c>
      <c r="D14" s="15" t="n">
        <v>5</v>
      </c>
      <c r="E14" s="16" t="n">
        <v>520</v>
      </c>
      <c r="F14" s="16" t="n">
        <f aca="false">D14*E14</f>
        <v>2600</v>
      </c>
      <c r="G14" s="15" t="s">
        <v>33</v>
      </c>
      <c r="H14" s="16" t="n">
        <v>2200</v>
      </c>
      <c r="I14" s="16" t="n">
        <f aca="false">F14-H14</f>
        <v>400</v>
      </c>
      <c r="J14" s="15" t="str">
        <f aca="false">TEXT(A14,"mmm yyyy")</f>
        <v>May 2026</v>
      </c>
    </row>
    <row r="15" customFormat="false" ht="15" hidden="false" customHeight="false" outlineLevel="0" collapsed="false">
      <c r="A15" s="9" t="n">
        <v>46151</v>
      </c>
      <c r="B15" s="10" t="s">
        <v>40</v>
      </c>
      <c r="C15" s="10" t="s">
        <v>25</v>
      </c>
      <c r="D15" s="11" t="n">
        <v>5</v>
      </c>
      <c r="E15" s="12" t="n">
        <v>380</v>
      </c>
      <c r="F15" s="12" t="n">
        <f aca="false">D15*E15</f>
        <v>1900</v>
      </c>
      <c r="G15" s="11" t="s">
        <v>33</v>
      </c>
      <c r="H15" s="12" t="n">
        <v>1500</v>
      </c>
      <c r="I15" s="12" t="n">
        <f aca="false">F15-H15</f>
        <v>400</v>
      </c>
      <c r="J15" s="11" t="str">
        <f aca="false">TEXT(A15,"mmm yyyy")</f>
        <v>May 2026</v>
      </c>
    </row>
    <row r="16" customFormat="false" ht="15" hidden="false" customHeight="false" outlineLevel="0" collapsed="false">
      <c r="A16" s="13" t="n">
        <v>46152</v>
      </c>
      <c r="B16" s="14" t="s">
        <v>32</v>
      </c>
      <c r="C16" s="14" t="s">
        <v>31</v>
      </c>
      <c r="D16" s="15" t="n">
        <v>5</v>
      </c>
      <c r="E16" s="16" t="n">
        <v>480</v>
      </c>
      <c r="F16" s="16" t="n">
        <f aca="false">D16*E16</f>
        <v>2400</v>
      </c>
      <c r="G16" s="15" t="s">
        <v>33</v>
      </c>
      <c r="H16" s="16" t="n">
        <v>2000</v>
      </c>
      <c r="I16" s="16" t="n">
        <f aca="false">F16-H16</f>
        <v>400</v>
      </c>
      <c r="J16" s="15" t="str">
        <f aca="false">TEXT(A16,"mmm yyyy")</f>
        <v>May 2026</v>
      </c>
    </row>
    <row r="17" customFormat="false" ht="15" hidden="false" customHeight="false" outlineLevel="0" collapsed="false">
      <c r="A17" s="9" t="n">
        <v>46152</v>
      </c>
      <c r="B17" s="10" t="s">
        <v>41</v>
      </c>
      <c r="C17" s="10" t="s">
        <v>31</v>
      </c>
      <c r="D17" s="11" t="n">
        <v>10</v>
      </c>
      <c r="E17" s="12" t="n">
        <v>150</v>
      </c>
      <c r="F17" s="12" t="n">
        <f aca="false">D17*E17</f>
        <v>1500</v>
      </c>
      <c r="G17" s="11" t="s">
        <v>33</v>
      </c>
      <c r="H17" s="12" t="n">
        <v>1100</v>
      </c>
      <c r="I17" s="12" t="n">
        <f aca="false">F17-H17</f>
        <v>400</v>
      </c>
      <c r="J17" s="11" t="str">
        <f aca="false">TEXT(A17,"mmm yyyy")</f>
        <v>May 2026</v>
      </c>
    </row>
    <row r="18" customFormat="false" ht="15" hidden="false" customHeight="false" outlineLevel="0" collapsed="false">
      <c r="A18" s="13" t="n">
        <v>46153</v>
      </c>
      <c r="B18" s="14" t="s">
        <v>30</v>
      </c>
      <c r="C18" s="14" t="s">
        <v>31</v>
      </c>
      <c r="D18" s="15" t="n">
        <v>5</v>
      </c>
      <c r="E18" s="16" t="n">
        <v>520</v>
      </c>
      <c r="F18" s="16" t="n">
        <f aca="false">D18*E18</f>
        <v>2600</v>
      </c>
      <c r="G18" s="15" t="s">
        <v>26</v>
      </c>
      <c r="H18" s="16" t="n">
        <v>2200</v>
      </c>
      <c r="I18" s="16" t="n">
        <f aca="false">F18-H18</f>
        <v>400</v>
      </c>
      <c r="J18" s="15" t="str">
        <f aca="false">TEXT(A18,"mmm yyyy")</f>
        <v>May 2026</v>
      </c>
    </row>
    <row r="19" customFormat="false" ht="15" hidden="false" customHeight="false" outlineLevel="0" collapsed="false">
      <c r="A19" s="9" t="n">
        <v>46154</v>
      </c>
      <c r="B19" s="10" t="s">
        <v>27</v>
      </c>
      <c r="C19" s="10" t="s">
        <v>28</v>
      </c>
      <c r="D19" s="11" t="n">
        <v>10</v>
      </c>
      <c r="E19" s="12" t="n">
        <v>450</v>
      </c>
      <c r="F19" s="12" t="n">
        <f aca="false">D19*E19</f>
        <v>4500</v>
      </c>
      <c r="G19" s="11" t="s">
        <v>26</v>
      </c>
      <c r="H19" s="12" t="n">
        <v>3800</v>
      </c>
      <c r="I19" s="12" t="n">
        <f aca="false">F19-H19</f>
        <v>700</v>
      </c>
      <c r="J19" s="11" t="str">
        <f aca="false">TEXT(A19,"mmm yyyy")</f>
        <v>May 2026</v>
      </c>
    </row>
    <row r="20" customFormat="false" ht="15" hidden="false" customHeight="false" outlineLevel="0" collapsed="false">
      <c r="A20" s="13" t="n">
        <v>46155</v>
      </c>
      <c r="B20" s="14" t="s">
        <v>40</v>
      </c>
      <c r="C20" s="14" t="s">
        <v>25</v>
      </c>
      <c r="D20" s="15" t="n">
        <v>2</v>
      </c>
      <c r="E20" s="16" t="n">
        <v>380</v>
      </c>
      <c r="F20" s="16" t="n">
        <f aca="false">D20*E20</f>
        <v>760</v>
      </c>
      <c r="G20" s="15" t="s">
        <v>33</v>
      </c>
      <c r="H20" s="16" t="n">
        <v>600</v>
      </c>
      <c r="I20" s="16" t="n">
        <f aca="false">F20-H20</f>
        <v>160</v>
      </c>
      <c r="J20" s="15" t="str">
        <f aca="false">TEXT(A20,"mmm yyyy")</f>
        <v>May 2026</v>
      </c>
    </row>
    <row r="21" customFormat="false" ht="15" hidden="false" customHeight="false" outlineLevel="0" collapsed="false">
      <c r="A21" s="9" t="n">
        <v>46155</v>
      </c>
      <c r="B21" s="10" t="s">
        <v>40</v>
      </c>
      <c r="C21" s="10" t="s">
        <v>25</v>
      </c>
      <c r="D21" s="11" t="n">
        <v>2</v>
      </c>
      <c r="E21" s="12" t="n">
        <v>380</v>
      </c>
      <c r="F21" s="12" t="n">
        <f aca="false">D21*E21</f>
        <v>760</v>
      </c>
      <c r="G21" s="11" t="s">
        <v>37</v>
      </c>
      <c r="H21" s="12" t="n">
        <v>600</v>
      </c>
      <c r="I21" s="12" t="n">
        <f aca="false">F21-H21</f>
        <v>160</v>
      </c>
      <c r="J21" s="11" t="str">
        <f aca="false">TEXT(A21,"mmm yyyy")</f>
        <v>May 2026</v>
      </c>
    </row>
    <row r="22" customFormat="false" ht="15" hidden="false" customHeight="false" outlineLevel="0" collapsed="false">
      <c r="A22" s="13" t="n">
        <v>46157</v>
      </c>
      <c r="B22" s="14" t="s">
        <v>41</v>
      </c>
      <c r="C22" s="14" t="s">
        <v>31</v>
      </c>
      <c r="D22" s="15" t="n">
        <v>5</v>
      </c>
      <c r="E22" s="16" t="n">
        <v>150</v>
      </c>
      <c r="F22" s="16" t="n">
        <f aca="false">D22*E22</f>
        <v>750</v>
      </c>
      <c r="G22" s="15" t="s">
        <v>26</v>
      </c>
      <c r="H22" s="16" t="n">
        <v>550</v>
      </c>
      <c r="I22" s="16" t="n">
        <f aca="false">F22-H22</f>
        <v>200</v>
      </c>
      <c r="J22" s="15" t="str">
        <f aca="false">TEXT(A22,"mmm yyyy")</f>
        <v>May 2026</v>
      </c>
    </row>
    <row r="23" customFormat="false" ht="15" hidden="false" customHeight="false" outlineLevel="0" collapsed="false">
      <c r="A23" s="9" t="n">
        <v>46158</v>
      </c>
      <c r="B23" s="10" t="s">
        <v>38</v>
      </c>
      <c r="C23" s="10" t="s">
        <v>39</v>
      </c>
      <c r="D23" s="11" t="n">
        <v>3</v>
      </c>
      <c r="E23" s="12" t="n">
        <v>620</v>
      </c>
      <c r="F23" s="12" t="n">
        <f aca="false">D23*E23</f>
        <v>1860</v>
      </c>
      <c r="G23" s="11" t="s">
        <v>33</v>
      </c>
      <c r="H23" s="12" t="n">
        <v>1560</v>
      </c>
      <c r="I23" s="12" t="n">
        <f aca="false">F23-H23</f>
        <v>300</v>
      </c>
      <c r="J23" s="11" t="str">
        <f aca="false">TEXT(A23,"mmm yyyy")</f>
        <v>May 2026</v>
      </c>
    </row>
    <row r="24" customFormat="false" ht="15" hidden="false" customHeight="false" outlineLevel="0" collapsed="false">
      <c r="A24" s="13" t="n">
        <v>46160</v>
      </c>
      <c r="B24" s="14" t="s">
        <v>30</v>
      </c>
      <c r="C24" s="14" t="s">
        <v>31</v>
      </c>
      <c r="D24" s="15" t="n">
        <v>2</v>
      </c>
      <c r="E24" s="16" t="n">
        <v>520</v>
      </c>
      <c r="F24" s="16" t="n">
        <f aca="false">D24*E24</f>
        <v>1040</v>
      </c>
      <c r="G24" s="15" t="s">
        <v>26</v>
      </c>
      <c r="H24" s="16" t="n">
        <v>880</v>
      </c>
      <c r="I24" s="16" t="n">
        <f aca="false">F24-H24</f>
        <v>160</v>
      </c>
      <c r="J24" s="15" t="str">
        <f aca="false">TEXT(A24,"mmm yyyy")</f>
        <v>May 2026</v>
      </c>
    </row>
    <row r="25" customFormat="false" ht="15" hidden="false" customHeight="false" outlineLevel="0" collapsed="false">
      <c r="A25" s="9" t="n">
        <v>46160</v>
      </c>
      <c r="B25" s="10" t="s">
        <v>40</v>
      </c>
      <c r="C25" s="10" t="s">
        <v>25</v>
      </c>
      <c r="D25" s="11" t="n">
        <v>3</v>
      </c>
      <c r="E25" s="12" t="n">
        <v>380</v>
      </c>
      <c r="F25" s="12" t="n">
        <f aca="false">D25*E25</f>
        <v>1140</v>
      </c>
      <c r="G25" s="11" t="s">
        <v>33</v>
      </c>
      <c r="H25" s="12" t="n">
        <v>900</v>
      </c>
      <c r="I25" s="12" t="n">
        <f aca="false">F25-H25</f>
        <v>240</v>
      </c>
      <c r="J25" s="11" t="str">
        <f aca="false">TEXT(A25,"mmm yyyy")</f>
        <v>May 2026</v>
      </c>
    </row>
    <row r="26" customFormat="false" ht="15" hidden="false" customHeight="false" outlineLevel="0" collapsed="false">
      <c r="A26" s="13" t="n">
        <v>46160</v>
      </c>
      <c r="B26" s="14" t="s">
        <v>27</v>
      </c>
      <c r="C26" s="14" t="s">
        <v>28</v>
      </c>
      <c r="D26" s="15" t="n">
        <v>5</v>
      </c>
      <c r="E26" s="16" t="n">
        <v>450</v>
      </c>
      <c r="F26" s="16" t="n">
        <f aca="false">D26*E26</f>
        <v>2250</v>
      </c>
      <c r="G26" s="15" t="s">
        <v>33</v>
      </c>
      <c r="H26" s="16" t="n">
        <v>1900</v>
      </c>
      <c r="I26" s="16" t="n">
        <f aca="false">F26-H26</f>
        <v>350</v>
      </c>
      <c r="J26" s="15" t="str">
        <f aca="false">TEXT(A26,"mmm yyyy")</f>
        <v>May 2026</v>
      </c>
    </row>
    <row r="27" customFormat="false" ht="15" hidden="false" customHeight="false" outlineLevel="0" collapsed="false">
      <c r="A27" s="9" t="n">
        <v>46162</v>
      </c>
      <c r="B27" s="10" t="s">
        <v>36</v>
      </c>
      <c r="C27" s="10" t="s">
        <v>35</v>
      </c>
      <c r="D27" s="11" t="n">
        <v>2</v>
      </c>
      <c r="E27" s="12" t="n">
        <v>260</v>
      </c>
      <c r="F27" s="12" t="n">
        <f aca="false">D27*E27</f>
        <v>520</v>
      </c>
      <c r="G27" s="11" t="s">
        <v>33</v>
      </c>
      <c r="H27" s="12" t="n">
        <v>400</v>
      </c>
      <c r="I27" s="12" t="n">
        <f aca="false">F27-H27</f>
        <v>120</v>
      </c>
      <c r="J27" s="11" t="str">
        <f aca="false">TEXT(A27,"mmm yyyy")</f>
        <v>May 2026</v>
      </c>
    </row>
    <row r="28" customFormat="false" ht="15" hidden="false" customHeight="false" outlineLevel="0" collapsed="false">
      <c r="A28" s="13" t="n">
        <v>46162</v>
      </c>
      <c r="B28" s="14" t="s">
        <v>36</v>
      </c>
      <c r="C28" s="14" t="s">
        <v>35</v>
      </c>
      <c r="D28" s="15" t="n">
        <v>3</v>
      </c>
      <c r="E28" s="16" t="n">
        <v>260</v>
      </c>
      <c r="F28" s="16" t="n">
        <f aca="false">D28*E28</f>
        <v>780</v>
      </c>
      <c r="G28" s="15" t="s">
        <v>37</v>
      </c>
      <c r="H28" s="16" t="n">
        <v>600</v>
      </c>
      <c r="I28" s="16" t="n">
        <f aca="false">F28-H28</f>
        <v>180</v>
      </c>
      <c r="J28" s="15" t="str">
        <f aca="false">TEXT(A28,"mmm yyyy")</f>
        <v>May 2026</v>
      </c>
    </row>
    <row r="29" customFormat="false" ht="15" hidden="false" customHeight="false" outlineLevel="0" collapsed="false">
      <c r="A29" s="9" t="n">
        <v>46162</v>
      </c>
      <c r="B29" s="10" t="s">
        <v>40</v>
      </c>
      <c r="C29" s="10" t="s">
        <v>25</v>
      </c>
      <c r="D29" s="11" t="n">
        <v>2</v>
      </c>
      <c r="E29" s="12" t="n">
        <v>380</v>
      </c>
      <c r="F29" s="12" t="n">
        <f aca="false">D29*E29</f>
        <v>760</v>
      </c>
      <c r="G29" s="11" t="s">
        <v>37</v>
      </c>
      <c r="H29" s="12" t="n">
        <v>600</v>
      </c>
      <c r="I29" s="12" t="n">
        <f aca="false">F29-H29</f>
        <v>160</v>
      </c>
      <c r="J29" s="11" t="str">
        <f aca="false">TEXT(A29,"mmm yyyy")</f>
        <v>May 2026</v>
      </c>
    </row>
    <row r="30" customFormat="false" ht="15" hidden="false" customHeight="false" outlineLevel="0" collapsed="false">
      <c r="A30" s="13" t="n">
        <v>46164</v>
      </c>
      <c r="B30" s="14" t="s">
        <v>24</v>
      </c>
      <c r="C30" s="14" t="s">
        <v>25</v>
      </c>
      <c r="D30" s="15" t="n">
        <v>5</v>
      </c>
      <c r="E30" s="16" t="n">
        <v>340</v>
      </c>
      <c r="F30" s="16" t="n">
        <f aca="false">D30*E30</f>
        <v>1700</v>
      </c>
      <c r="G30" s="15" t="s">
        <v>29</v>
      </c>
      <c r="H30" s="16" t="n">
        <v>1350</v>
      </c>
      <c r="I30" s="16" t="n">
        <f aca="false">F30-H30</f>
        <v>350</v>
      </c>
      <c r="J30" s="15" t="str">
        <f aca="false">TEXT(A30,"mmm yyyy")</f>
        <v>May 2026</v>
      </c>
    </row>
    <row r="31" customFormat="false" ht="15" hidden="false" customHeight="false" outlineLevel="0" collapsed="false">
      <c r="A31" s="9" t="n">
        <v>46164</v>
      </c>
      <c r="B31" s="10" t="s">
        <v>42</v>
      </c>
      <c r="C31" s="10" t="s">
        <v>43</v>
      </c>
      <c r="D31" s="11" t="n">
        <v>5</v>
      </c>
      <c r="E31" s="12" t="n">
        <v>300</v>
      </c>
      <c r="F31" s="12" t="n">
        <f aca="false">D31*E31</f>
        <v>1500</v>
      </c>
      <c r="G31" s="11" t="s">
        <v>33</v>
      </c>
      <c r="H31" s="12" t="n">
        <v>1200</v>
      </c>
      <c r="I31" s="12" t="n">
        <f aca="false">F31-H31</f>
        <v>300</v>
      </c>
      <c r="J31" s="11" t="str">
        <f aca="false">TEXT(A31,"mmm yyyy")</f>
        <v>May 2026</v>
      </c>
    </row>
    <row r="32" customFormat="false" ht="15" hidden="false" customHeight="false" outlineLevel="0" collapsed="false">
      <c r="A32" s="13" t="n">
        <v>46164</v>
      </c>
      <c r="B32" s="14" t="s">
        <v>40</v>
      </c>
      <c r="C32" s="14" t="s">
        <v>25</v>
      </c>
      <c r="D32" s="15" t="n">
        <v>2</v>
      </c>
      <c r="E32" s="16" t="n">
        <v>380</v>
      </c>
      <c r="F32" s="16" t="n">
        <f aca="false">D32*E32</f>
        <v>760</v>
      </c>
      <c r="G32" s="15" t="s">
        <v>26</v>
      </c>
      <c r="H32" s="16" t="n">
        <v>600</v>
      </c>
      <c r="I32" s="16" t="n">
        <f aca="false">F32-H32</f>
        <v>160</v>
      </c>
      <c r="J32" s="15" t="str">
        <f aca="false">TEXT(A32,"mmm yyyy")</f>
        <v>May 2026</v>
      </c>
    </row>
    <row r="33" customFormat="false" ht="15" hidden="false" customHeight="false" outlineLevel="0" collapsed="false">
      <c r="A33" s="9" t="n">
        <v>46165</v>
      </c>
      <c r="B33" s="10" t="s">
        <v>30</v>
      </c>
      <c r="C33" s="10" t="s">
        <v>31</v>
      </c>
      <c r="D33" s="11" t="n">
        <v>10</v>
      </c>
      <c r="E33" s="12" t="n">
        <v>520</v>
      </c>
      <c r="F33" s="12" t="n">
        <f aca="false">D33*E33</f>
        <v>5200</v>
      </c>
      <c r="G33" s="11" t="s">
        <v>26</v>
      </c>
      <c r="H33" s="12" t="n">
        <v>4400</v>
      </c>
      <c r="I33" s="12" t="n">
        <f aca="false">F33-H33</f>
        <v>800</v>
      </c>
      <c r="J33" s="11" t="str">
        <f aca="false">TEXT(A33,"mmm yyyy")</f>
        <v>May 2026</v>
      </c>
    </row>
    <row r="34" customFormat="false" ht="15" hidden="false" customHeight="false" outlineLevel="0" collapsed="false">
      <c r="A34" s="13" t="n">
        <v>46168</v>
      </c>
      <c r="B34" s="14" t="s">
        <v>32</v>
      </c>
      <c r="C34" s="14" t="s">
        <v>31</v>
      </c>
      <c r="D34" s="15" t="n">
        <v>3</v>
      </c>
      <c r="E34" s="16" t="n">
        <v>480</v>
      </c>
      <c r="F34" s="16" t="n">
        <f aca="false">D34*E34</f>
        <v>1440</v>
      </c>
      <c r="G34" s="15" t="s">
        <v>33</v>
      </c>
      <c r="H34" s="16" t="n">
        <v>1200</v>
      </c>
      <c r="I34" s="16" t="n">
        <f aca="false">F34-H34</f>
        <v>240</v>
      </c>
      <c r="J34" s="15" t="str">
        <f aca="false">TEXT(A34,"mmm yyyy")</f>
        <v>May 2026</v>
      </c>
    </row>
    <row r="35" customFormat="false" ht="15" hidden="false" customHeight="false" outlineLevel="0" collapsed="false">
      <c r="A35" s="9" t="n">
        <v>46168</v>
      </c>
      <c r="B35" s="10" t="s">
        <v>24</v>
      </c>
      <c r="C35" s="10" t="s">
        <v>25</v>
      </c>
      <c r="D35" s="11" t="n">
        <v>5</v>
      </c>
      <c r="E35" s="12" t="n">
        <v>340</v>
      </c>
      <c r="F35" s="12" t="n">
        <f aca="false">D35*E35</f>
        <v>1700</v>
      </c>
      <c r="G35" s="11" t="s">
        <v>26</v>
      </c>
      <c r="H35" s="12" t="n">
        <v>1350</v>
      </c>
      <c r="I35" s="12" t="n">
        <f aca="false">F35-H35</f>
        <v>350</v>
      </c>
      <c r="J35" s="11" t="str">
        <f aca="false">TEXT(A35,"mmm yyyy")</f>
        <v>May 2026</v>
      </c>
    </row>
    <row r="36" customFormat="false" ht="15" hidden="false" customHeight="false" outlineLevel="0" collapsed="false">
      <c r="A36" s="13" t="n">
        <v>46168</v>
      </c>
      <c r="B36" s="14" t="s">
        <v>41</v>
      </c>
      <c r="C36" s="14" t="s">
        <v>31</v>
      </c>
      <c r="D36" s="15" t="n">
        <v>3</v>
      </c>
      <c r="E36" s="16" t="n">
        <v>150</v>
      </c>
      <c r="F36" s="16" t="n">
        <f aca="false">D36*E36</f>
        <v>450</v>
      </c>
      <c r="G36" s="15" t="s">
        <v>29</v>
      </c>
      <c r="H36" s="16" t="n">
        <v>330</v>
      </c>
      <c r="I36" s="16" t="n">
        <f aca="false">F36-H36</f>
        <v>120</v>
      </c>
      <c r="J36" s="15" t="str">
        <f aca="false">TEXT(A36,"mmm yyyy")</f>
        <v>May 2026</v>
      </c>
    </row>
    <row r="37" customFormat="false" ht="15" hidden="false" customHeight="false" outlineLevel="0" collapsed="false">
      <c r="A37" s="9" t="n">
        <v>46169</v>
      </c>
      <c r="B37" s="10" t="s">
        <v>34</v>
      </c>
      <c r="C37" s="10" t="s">
        <v>35</v>
      </c>
      <c r="D37" s="11" t="n">
        <v>10</v>
      </c>
      <c r="E37" s="12" t="n">
        <v>220</v>
      </c>
      <c r="F37" s="12" t="n">
        <f aca="false">D37*E37</f>
        <v>2200</v>
      </c>
      <c r="G37" s="11" t="s">
        <v>33</v>
      </c>
      <c r="H37" s="12" t="n">
        <v>1650</v>
      </c>
      <c r="I37" s="12" t="n">
        <f aca="false">F37-H37</f>
        <v>550</v>
      </c>
      <c r="J37" s="11" t="str">
        <f aca="false">TEXT(A37,"mmm yyyy")</f>
        <v>May 2026</v>
      </c>
    </row>
    <row r="38" customFormat="false" ht="15" hidden="false" customHeight="false" outlineLevel="0" collapsed="false">
      <c r="A38" s="13" t="n">
        <v>46170</v>
      </c>
      <c r="B38" s="14" t="s">
        <v>38</v>
      </c>
      <c r="C38" s="14" t="s">
        <v>39</v>
      </c>
      <c r="D38" s="15" t="n">
        <v>3</v>
      </c>
      <c r="E38" s="16" t="n">
        <v>620</v>
      </c>
      <c r="F38" s="16" t="n">
        <f aca="false">D38*E38</f>
        <v>1860</v>
      </c>
      <c r="G38" s="15" t="s">
        <v>26</v>
      </c>
      <c r="H38" s="16" t="n">
        <v>1560</v>
      </c>
      <c r="I38" s="16" t="n">
        <f aca="false">F38-H38</f>
        <v>300</v>
      </c>
      <c r="J38" s="15" t="str">
        <f aca="false">TEXT(A38,"mmm yyyy")</f>
        <v>May 2026</v>
      </c>
    </row>
    <row r="39" customFormat="false" ht="15" hidden="false" customHeight="false" outlineLevel="0" collapsed="false">
      <c r="A39" s="9" t="n">
        <v>46170</v>
      </c>
      <c r="B39" s="10" t="s">
        <v>32</v>
      </c>
      <c r="C39" s="10" t="s">
        <v>31</v>
      </c>
      <c r="D39" s="11" t="n">
        <v>2</v>
      </c>
      <c r="E39" s="12" t="n">
        <v>480</v>
      </c>
      <c r="F39" s="12" t="n">
        <f aca="false">D39*E39</f>
        <v>960</v>
      </c>
      <c r="G39" s="11" t="s">
        <v>33</v>
      </c>
      <c r="H39" s="12" t="n">
        <v>800</v>
      </c>
      <c r="I39" s="12" t="n">
        <f aca="false">F39-H39</f>
        <v>160</v>
      </c>
      <c r="J39" s="11" t="str">
        <f aca="false">TEXT(A39,"mmm yyyy")</f>
        <v>May 2026</v>
      </c>
    </row>
    <row r="40" customFormat="false" ht="15" hidden="false" customHeight="false" outlineLevel="0" collapsed="false">
      <c r="A40" s="13" t="n">
        <v>46171</v>
      </c>
      <c r="B40" s="14" t="s">
        <v>34</v>
      </c>
      <c r="C40" s="14" t="s">
        <v>35</v>
      </c>
      <c r="D40" s="15" t="n">
        <v>1</v>
      </c>
      <c r="E40" s="16" t="n">
        <v>220</v>
      </c>
      <c r="F40" s="16" t="n">
        <f aca="false">D40*E40</f>
        <v>220</v>
      </c>
      <c r="G40" s="15" t="s">
        <v>37</v>
      </c>
      <c r="H40" s="16" t="n">
        <v>165</v>
      </c>
      <c r="I40" s="16" t="n">
        <f aca="false">F40-H40</f>
        <v>55</v>
      </c>
      <c r="J40" s="15" t="str">
        <f aca="false">TEXT(A40,"mmm yyyy")</f>
        <v>May 2026</v>
      </c>
    </row>
    <row r="41" customFormat="false" ht="15" hidden="false" customHeight="false" outlineLevel="0" collapsed="false">
      <c r="A41" s="9" t="n">
        <v>46171</v>
      </c>
      <c r="B41" s="10" t="s">
        <v>34</v>
      </c>
      <c r="C41" s="10" t="s">
        <v>35</v>
      </c>
      <c r="D41" s="11" t="n">
        <v>10</v>
      </c>
      <c r="E41" s="12" t="n">
        <v>220</v>
      </c>
      <c r="F41" s="12" t="n">
        <f aca="false">D41*E41</f>
        <v>2200</v>
      </c>
      <c r="G41" s="11" t="s">
        <v>26</v>
      </c>
      <c r="H41" s="12" t="n">
        <v>1650</v>
      </c>
      <c r="I41" s="12" t="n">
        <f aca="false">F41-H41</f>
        <v>550</v>
      </c>
      <c r="J41" s="11" t="str">
        <f aca="false">TEXT(A41,"mmm yyyy")</f>
        <v>May 2026</v>
      </c>
    </row>
    <row r="42" customFormat="false" ht="15" hidden="false" customHeight="false" outlineLevel="0" collapsed="false">
      <c r="A42" s="13" t="n">
        <v>46172</v>
      </c>
      <c r="B42" s="14" t="s">
        <v>41</v>
      </c>
      <c r="C42" s="14" t="s">
        <v>31</v>
      </c>
      <c r="D42" s="15" t="n">
        <v>2</v>
      </c>
      <c r="E42" s="16" t="n">
        <v>150</v>
      </c>
      <c r="F42" s="16" t="n">
        <f aca="false">D42*E42</f>
        <v>300</v>
      </c>
      <c r="G42" s="15" t="s">
        <v>26</v>
      </c>
      <c r="H42" s="16" t="n">
        <v>220</v>
      </c>
      <c r="I42" s="16" t="n">
        <f aca="false">F42-H42</f>
        <v>80</v>
      </c>
      <c r="J42" s="15" t="str">
        <f aca="false">TEXT(A42,"mmm yyyy")</f>
        <v>May 2026</v>
      </c>
    </row>
    <row r="43" customFormat="false" ht="15" hidden="false" customHeight="false" outlineLevel="0" collapsed="false">
      <c r="A43" s="9" t="n">
        <v>46172</v>
      </c>
      <c r="B43" s="10" t="s">
        <v>34</v>
      </c>
      <c r="C43" s="10" t="s">
        <v>35</v>
      </c>
      <c r="D43" s="11" t="n">
        <v>10</v>
      </c>
      <c r="E43" s="12" t="n">
        <v>220</v>
      </c>
      <c r="F43" s="12" t="n">
        <f aca="false">D43*E43</f>
        <v>2200</v>
      </c>
      <c r="G43" s="11" t="s">
        <v>29</v>
      </c>
      <c r="H43" s="12" t="n">
        <v>1650</v>
      </c>
      <c r="I43" s="12" t="n">
        <f aca="false">F43-H43</f>
        <v>550</v>
      </c>
      <c r="J43" s="11" t="str">
        <f aca="false">TEXT(A43,"mmm yyyy")</f>
        <v>May 2026</v>
      </c>
    </row>
    <row r="44" customFormat="false" ht="15" hidden="false" customHeight="false" outlineLevel="0" collapsed="false">
      <c r="A44" s="13" t="n">
        <v>46172</v>
      </c>
      <c r="B44" s="14" t="s">
        <v>40</v>
      </c>
      <c r="C44" s="14" t="s">
        <v>25</v>
      </c>
      <c r="D44" s="15" t="n">
        <v>10</v>
      </c>
      <c r="E44" s="16" t="n">
        <v>380</v>
      </c>
      <c r="F44" s="16" t="n">
        <f aca="false">D44*E44</f>
        <v>3800</v>
      </c>
      <c r="G44" s="15" t="s">
        <v>26</v>
      </c>
      <c r="H44" s="16" t="n">
        <v>3000</v>
      </c>
      <c r="I44" s="16" t="n">
        <f aca="false">F44-H44</f>
        <v>800</v>
      </c>
      <c r="J44" s="15" t="str">
        <f aca="false">TEXT(A44,"mmm yyyy")</f>
        <v>May 2026</v>
      </c>
    </row>
    <row r="45" customFormat="false" ht="15" hidden="false" customHeight="false" outlineLevel="0" collapsed="false">
      <c r="A45" s="9" t="n">
        <v>46173</v>
      </c>
      <c r="B45" s="10" t="s">
        <v>27</v>
      </c>
      <c r="C45" s="10" t="s">
        <v>28</v>
      </c>
      <c r="D45" s="11" t="n">
        <v>1</v>
      </c>
      <c r="E45" s="12" t="n">
        <v>450</v>
      </c>
      <c r="F45" s="12" t="n">
        <f aca="false">D45*E45</f>
        <v>450</v>
      </c>
      <c r="G45" s="11" t="s">
        <v>26</v>
      </c>
      <c r="H45" s="12" t="n">
        <v>380</v>
      </c>
      <c r="I45" s="12" t="n">
        <f aca="false">F45-H45</f>
        <v>70</v>
      </c>
      <c r="J45" s="11" t="str">
        <f aca="false">TEXT(A45,"mmm yyyy")</f>
        <v>May 2026</v>
      </c>
    </row>
    <row r="46" customFormat="false" ht="15" hidden="false" customHeight="false" outlineLevel="0" collapsed="false">
      <c r="A46" s="13" t="n">
        <v>46173</v>
      </c>
      <c r="B46" s="14" t="s">
        <v>32</v>
      </c>
      <c r="C46" s="14" t="s">
        <v>31</v>
      </c>
      <c r="D46" s="15" t="n">
        <v>2</v>
      </c>
      <c r="E46" s="16" t="n">
        <v>480</v>
      </c>
      <c r="F46" s="16" t="n">
        <f aca="false">D46*E46</f>
        <v>960</v>
      </c>
      <c r="G46" s="15" t="s">
        <v>33</v>
      </c>
      <c r="H46" s="16" t="n">
        <v>800</v>
      </c>
      <c r="I46" s="16" t="n">
        <f aca="false">F46-H46</f>
        <v>160</v>
      </c>
      <c r="J46" s="15" t="str">
        <f aca="false">TEXT(A46,"mmm yyyy")</f>
        <v>May 2026</v>
      </c>
    </row>
    <row r="47" customFormat="false" ht="15" hidden="false" customHeight="false" outlineLevel="0" collapsed="false">
      <c r="A47" s="9" t="n">
        <v>46173</v>
      </c>
      <c r="B47" s="10" t="s">
        <v>40</v>
      </c>
      <c r="C47" s="10" t="s">
        <v>25</v>
      </c>
      <c r="D47" s="11" t="n">
        <v>3</v>
      </c>
      <c r="E47" s="12" t="n">
        <v>380</v>
      </c>
      <c r="F47" s="12" t="n">
        <f aca="false">D47*E47</f>
        <v>1140</v>
      </c>
      <c r="G47" s="11" t="s">
        <v>26</v>
      </c>
      <c r="H47" s="12" t="n">
        <v>900</v>
      </c>
      <c r="I47" s="12" t="n">
        <f aca="false">F47-H47</f>
        <v>240</v>
      </c>
      <c r="J47" s="11" t="str">
        <f aca="false">TEXT(A47,"mmm yyyy")</f>
        <v>May 2026</v>
      </c>
    </row>
    <row r="48" customFormat="false" ht="15" hidden="false" customHeight="false" outlineLevel="0" collapsed="false">
      <c r="A48" s="13" t="n">
        <v>46174</v>
      </c>
      <c r="B48" s="14" t="s">
        <v>32</v>
      </c>
      <c r="C48" s="14" t="s">
        <v>31</v>
      </c>
      <c r="D48" s="15" t="n">
        <v>5</v>
      </c>
      <c r="E48" s="16" t="n">
        <v>480</v>
      </c>
      <c r="F48" s="16" t="n">
        <f aca="false">D48*E48</f>
        <v>2400</v>
      </c>
      <c r="G48" s="15" t="s">
        <v>33</v>
      </c>
      <c r="H48" s="16" t="n">
        <v>2000</v>
      </c>
      <c r="I48" s="16" t="n">
        <f aca="false">F48-H48</f>
        <v>400</v>
      </c>
      <c r="J48" s="15" t="str">
        <f aca="false">TEXT(A48,"mmm yyyy")</f>
        <v>Jun 2026</v>
      </c>
    </row>
    <row r="49" customFormat="false" ht="15" hidden="false" customHeight="false" outlineLevel="0" collapsed="false">
      <c r="A49" s="9" t="n">
        <v>46175</v>
      </c>
      <c r="B49" s="10" t="s">
        <v>24</v>
      </c>
      <c r="C49" s="10" t="s">
        <v>25</v>
      </c>
      <c r="D49" s="11" t="n">
        <v>5</v>
      </c>
      <c r="E49" s="12" t="n">
        <v>340</v>
      </c>
      <c r="F49" s="12" t="n">
        <f aca="false">D49*E49</f>
        <v>1700</v>
      </c>
      <c r="G49" s="11" t="s">
        <v>29</v>
      </c>
      <c r="H49" s="12" t="n">
        <v>1350</v>
      </c>
      <c r="I49" s="12" t="n">
        <f aca="false">F49-H49</f>
        <v>350</v>
      </c>
      <c r="J49" s="11" t="str">
        <f aca="false">TEXT(A49,"mmm yyyy")</f>
        <v>Jun 2026</v>
      </c>
    </row>
    <row r="50" customFormat="false" ht="15" hidden="false" customHeight="false" outlineLevel="0" collapsed="false">
      <c r="A50" s="13" t="n">
        <v>46175</v>
      </c>
      <c r="B50" s="14" t="s">
        <v>38</v>
      </c>
      <c r="C50" s="14" t="s">
        <v>39</v>
      </c>
      <c r="D50" s="15" t="n">
        <v>2</v>
      </c>
      <c r="E50" s="16" t="n">
        <v>620</v>
      </c>
      <c r="F50" s="16" t="n">
        <f aca="false">D50*E50</f>
        <v>1240</v>
      </c>
      <c r="G50" s="15" t="s">
        <v>37</v>
      </c>
      <c r="H50" s="16" t="n">
        <v>1040</v>
      </c>
      <c r="I50" s="16" t="n">
        <f aca="false">F50-H50</f>
        <v>200</v>
      </c>
      <c r="J50" s="15" t="str">
        <f aca="false">TEXT(A50,"mmm yyyy")</f>
        <v>Jun 2026</v>
      </c>
    </row>
    <row r="51" customFormat="false" ht="15" hidden="false" customHeight="false" outlineLevel="0" collapsed="false">
      <c r="A51" s="9" t="n">
        <v>46175</v>
      </c>
      <c r="B51" s="10" t="s">
        <v>36</v>
      </c>
      <c r="C51" s="10" t="s">
        <v>35</v>
      </c>
      <c r="D51" s="11" t="n">
        <v>5</v>
      </c>
      <c r="E51" s="12" t="n">
        <v>260</v>
      </c>
      <c r="F51" s="12" t="n">
        <f aca="false">D51*E51</f>
        <v>1300</v>
      </c>
      <c r="G51" s="11" t="s">
        <v>26</v>
      </c>
      <c r="H51" s="12" t="n">
        <v>1000</v>
      </c>
      <c r="I51" s="12" t="n">
        <f aca="false">F51-H51</f>
        <v>300</v>
      </c>
      <c r="J51" s="11" t="str">
        <f aca="false">TEXT(A51,"mmm yyyy")</f>
        <v>Jun 2026</v>
      </c>
    </row>
    <row r="52" customFormat="false" ht="15" hidden="false" customHeight="false" outlineLevel="0" collapsed="false">
      <c r="A52" s="13" t="n">
        <v>46176</v>
      </c>
      <c r="B52" s="14" t="s">
        <v>34</v>
      </c>
      <c r="C52" s="14" t="s">
        <v>35</v>
      </c>
      <c r="D52" s="15" t="n">
        <v>10</v>
      </c>
      <c r="E52" s="16" t="n">
        <v>220</v>
      </c>
      <c r="F52" s="16" t="n">
        <f aca="false">D52*E52</f>
        <v>2200</v>
      </c>
      <c r="G52" s="15" t="s">
        <v>37</v>
      </c>
      <c r="H52" s="16" t="n">
        <v>1650</v>
      </c>
      <c r="I52" s="16" t="n">
        <f aca="false">F52-H52</f>
        <v>550</v>
      </c>
      <c r="J52" s="15" t="str">
        <f aca="false">TEXT(A52,"mmm yyyy")</f>
        <v>Jun 2026</v>
      </c>
    </row>
    <row r="53" customFormat="false" ht="15" hidden="false" customHeight="false" outlineLevel="0" collapsed="false">
      <c r="A53" s="9" t="n">
        <v>46177</v>
      </c>
      <c r="B53" s="10" t="s">
        <v>42</v>
      </c>
      <c r="C53" s="10" t="s">
        <v>43</v>
      </c>
      <c r="D53" s="11" t="n">
        <v>5</v>
      </c>
      <c r="E53" s="12" t="n">
        <v>300</v>
      </c>
      <c r="F53" s="12" t="n">
        <f aca="false">D53*E53</f>
        <v>1500</v>
      </c>
      <c r="G53" s="11" t="s">
        <v>37</v>
      </c>
      <c r="H53" s="12" t="n">
        <v>1200</v>
      </c>
      <c r="I53" s="12" t="n">
        <f aca="false">F53-H53</f>
        <v>300</v>
      </c>
      <c r="J53" s="11" t="str">
        <f aca="false">TEXT(A53,"mmm yyyy")</f>
        <v>Jun 2026</v>
      </c>
    </row>
    <row r="54" customFormat="false" ht="15" hidden="false" customHeight="false" outlineLevel="0" collapsed="false">
      <c r="A54" s="13" t="n">
        <v>46177</v>
      </c>
      <c r="B54" s="14" t="s">
        <v>40</v>
      </c>
      <c r="C54" s="14" t="s">
        <v>25</v>
      </c>
      <c r="D54" s="15" t="n">
        <v>3</v>
      </c>
      <c r="E54" s="16" t="n">
        <v>380</v>
      </c>
      <c r="F54" s="16" t="n">
        <f aca="false">D54*E54</f>
        <v>1140</v>
      </c>
      <c r="G54" s="15" t="s">
        <v>29</v>
      </c>
      <c r="H54" s="16" t="n">
        <v>900</v>
      </c>
      <c r="I54" s="16" t="n">
        <f aca="false">F54-H54</f>
        <v>240</v>
      </c>
      <c r="J54" s="15" t="str">
        <f aca="false">TEXT(A54,"mmm yyyy")</f>
        <v>Jun 2026</v>
      </c>
    </row>
    <row r="55" customFormat="false" ht="15" hidden="false" customHeight="false" outlineLevel="0" collapsed="false">
      <c r="A55" s="9" t="n">
        <v>46178</v>
      </c>
      <c r="B55" s="10" t="s">
        <v>27</v>
      </c>
      <c r="C55" s="10" t="s">
        <v>28</v>
      </c>
      <c r="D55" s="11" t="n">
        <v>1</v>
      </c>
      <c r="E55" s="12" t="n">
        <v>450</v>
      </c>
      <c r="F55" s="12" t="n">
        <f aca="false">D55*E55</f>
        <v>450</v>
      </c>
      <c r="G55" s="11" t="s">
        <v>33</v>
      </c>
      <c r="H55" s="12" t="n">
        <v>380</v>
      </c>
      <c r="I55" s="12" t="n">
        <f aca="false">F55-H55</f>
        <v>70</v>
      </c>
      <c r="J55" s="11" t="str">
        <f aca="false">TEXT(A55,"mmm yyyy")</f>
        <v>Jun 2026</v>
      </c>
    </row>
    <row r="56" customFormat="false" ht="15" hidden="false" customHeight="false" outlineLevel="0" collapsed="false">
      <c r="A56" s="13" t="n">
        <v>46180</v>
      </c>
      <c r="B56" s="14" t="s">
        <v>27</v>
      </c>
      <c r="C56" s="14" t="s">
        <v>28</v>
      </c>
      <c r="D56" s="15" t="n">
        <v>1</v>
      </c>
      <c r="E56" s="16" t="n">
        <v>450</v>
      </c>
      <c r="F56" s="16" t="n">
        <f aca="false">D56*E56</f>
        <v>450</v>
      </c>
      <c r="G56" s="15" t="s">
        <v>26</v>
      </c>
      <c r="H56" s="16" t="n">
        <v>380</v>
      </c>
      <c r="I56" s="16" t="n">
        <f aca="false">F56-H56</f>
        <v>70</v>
      </c>
      <c r="J56" s="15" t="str">
        <f aca="false">TEXT(A56,"mmm yyyy")</f>
        <v>Jun 2026</v>
      </c>
    </row>
    <row r="57" customFormat="false" ht="15" hidden="false" customHeight="false" outlineLevel="0" collapsed="false">
      <c r="A57" s="9" t="n">
        <v>46180</v>
      </c>
      <c r="B57" s="10" t="s">
        <v>30</v>
      </c>
      <c r="C57" s="10" t="s">
        <v>31</v>
      </c>
      <c r="D57" s="11" t="n">
        <v>10</v>
      </c>
      <c r="E57" s="12" t="n">
        <v>520</v>
      </c>
      <c r="F57" s="12" t="n">
        <f aca="false">D57*E57</f>
        <v>5200</v>
      </c>
      <c r="G57" s="11" t="s">
        <v>33</v>
      </c>
      <c r="H57" s="12" t="n">
        <v>4400</v>
      </c>
      <c r="I57" s="12" t="n">
        <f aca="false">F57-H57</f>
        <v>800</v>
      </c>
      <c r="J57" s="11" t="str">
        <f aca="false">TEXT(A57,"mmm yyyy")</f>
        <v>Jun 2026</v>
      </c>
    </row>
    <row r="58" customFormat="false" ht="15" hidden="false" customHeight="false" outlineLevel="0" collapsed="false">
      <c r="A58" s="13" t="n">
        <v>46180</v>
      </c>
      <c r="B58" s="14" t="s">
        <v>30</v>
      </c>
      <c r="C58" s="14" t="s">
        <v>31</v>
      </c>
      <c r="D58" s="15" t="n">
        <v>2</v>
      </c>
      <c r="E58" s="16" t="n">
        <v>520</v>
      </c>
      <c r="F58" s="16" t="n">
        <f aca="false">D58*E58</f>
        <v>1040</v>
      </c>
      <c r="G58" s="15" t="s">
        <v>26</v>
      </c>
      <c r="H58" s="16" t="n">
        <v>880</v>
      </c>
      <c r="I58" s="16" t="n">
        <f aca="false">F58-H58</f>
        <v>160</v>
      </c>
      <c r="J58" s="15" t="str">
        <f aca="false">TEXT(A58,"mmm yyyy")</f>
        <v>Jun 2026</v>
      </c>
    </row>
    <row r="59" customFormat="false" ht="15" hidden="false" customHeight="false" outlineLevel="0" collapsed="false">
      <c r="A59" s="9" t="n">
        <v>46183</v>
      </c>
      <c r="B59" s="10" t="s">
        <v>34</v>
      </c>
      <c r="C59" s="10" t="s">
        <v>35</v>
      </c>
      <c r="D59" s="11" t="n">
        <v>2</v>
      </c>
      <c r="E59" s="12" t="n">
        <v>220</v>
      </c>
      <c r="F59" s="12" t="n">
        <f aca="false">D59*E59</f>
        <v>440</v>
      </c>
      <c r="G59" s="11" t="s">
        <v>37</v>
      </c>
      <c r="H59" s="12" t="n">
        <v>330</v>
      </c>
      <c r="I59" s="12" t="n">
        <f aca="false">F59-H59</f>
        <v>110</v>
      </c>
      <c r="J59" s="11" t="str">
        <f aca="false">TEXT(A59,"mmm yyyy")</f>
        <v>Jun 2026</v>
      </c>
    </row>
    <row r="60" customFormat="false" ht="15" hidden="false" customHeight="false" outlineLevel="0" collapsed="false">
      <c r="A60" s="13" t="n">
        <v>46184</v>
      </c>
      <c r="B60" s="14" t="s">
        <v>41</v>
      </c>
      <c r="C60" s="14" t="s">
        <v>31</v>
      </c>
      <c r="D60" s="15" t="n">
        <v>3</v>
      </c>
      <c r="E60" s="16" t="n">
        <v>150</v>
      </c>
      <c r="F60" s="16" t="n">
        <f aca="false">D60*E60</f>
        <v>450</v>
      </c>
      <c r="G60" s="15" t="s">
        <v>26</v>
      </c>
      <c r="H60" s="16" t="n">
        <v>330</v>
      </c>
      <c r="I60" s="16" t="n">
        <f aca="false">F60-H60</f>
        <v>120</v>
      </c>
      <c r="J60" s="15" t="str">
        <f aca="false">TEXT(A60,"mmm yyyy")</f>
        <v>Jun 2026</v>
      </c>
    </row>
    <row r="61" customFormat="false" ht="15" hidden="false" customHeight="false" outlineLevel="0" collapsed="false">
      <c r="A61" s="9" t="n">
        <v>46184</v>
      </c>
      <c r="B61" s="10" t="s">
        <v>27</v>
      </c>
      <c r="C61" s="10" t="s">
        <v>28</v>
      </c>
      <c r="D61" s="11" t="n">
        <v>1</v>
      </c>
      <c r="E61" s="12" t="n">
        <v>450</v>
      </c>
      <c r="F61" s="12" t="n">
        <f aca="false">D61*E61</f>
        <v>450</v>
      </c>
      <c r="G61" s="11" t="s">
        <v>26</v>
      </c>
      <c r="H61" s="12" t="n">
        <v>380</v>
      </c>
      <c r="I61" s="12" t="n">
        <f aca="false">F61-H61</f>
        <v>70</v>
      </c>
      <c r="J61" s="11" t="str">
        <f aca="false">TEXT(A61,"mmm yyyy")</f>
        <v>Jun 2026</v>
      </c>
    </row>
    <row r="62" customFormat="false" ht="15" hidden="false" customHeight="false" outlineLevel="0" collapsed="false">
      <c r="A62" s="13" t="n">
        <v>46184</v>
      </c>
      <c r="B62" s="14" t="s">
        <v>36</v>
      </c>
      <c r="C62" s="14" t="s">
        <v>35</v>
      </c>
      <c r="D62" s="15" t="n">
        <v>10</v>
      </c>
      <c r="E62" s="16" t="n">
        <v>260</v>
      </c>
      <c r="F62" s="16" t="n">
        <f aca="false">D62*E62</f>
        <v>2600</v>
      </c>
      <c r="G62" s="15" t="s">
        <v>33</v>
      </c>
      <c r="H62" s="16" t="n">
        <v>2000</v>
      </c>
      <c r="I62" s="16" t="n">
        <f aca="false">F62-H62</f>
        <v>600</v>
      </c>
      <c r="J62" s="15" t="str">
        <f aca="false">TEXT(A62,"mmm yyyy")</f>
        <v>Jun 2026</v>
      </c>
    </row>
    <row r="63" customFormat="false" ht="15" hidden="false" customHeight="false" outlineLevel="0" collapsed="false">
      <c r="A63" s="9" t="n">
        <v>46185</v>
      </c>
      <c r="B63" s="10" t="s">
        <v>30</v>
      </c>
      <c r="C63" s="10" t="s">
        <v>31</v>
      </c>
      <c r="D63" s="11" t="n">
        <v>5</v>
      </c>
      <c r="E63" s="12" t="n">
        <v>520</v>
      </c>
      <c r="F63" s="12" t="n">
        <f aca="false">D63*E63</f>
        <v>2600</v>
      </c>
      <c r="G63" s="11" t="s">
        <v>37</v>
      </c>
      <c r="H63" s="12" t="n">
        <v>2200</v>
      </c>
      <c r="I63" s="12" t="n">
        <f aca="false">F63-H63</f>
        <v>400</v>
      </c>
      <c r="J63" s="11" t="str">
        <f aca="false">TEXT(A63,"mmm yyyy")</f>
        <v>Jun 2026</v>
      </c>
    </row>
    <row r="64" customFormat="false" ht="15" hidden="false" customHeight="false" outlineLevel="0" collapsed="false">
      <c r="A64" s="13" t="n">
        <v>46185</v>
      </c>
      <c r="B64" s="14" t="s">
        <v>42</v>
      </c>
      <c r="C64" s="14" t="s">
        <v>43</v>
      </c>
      <c r="D64" s="15" t="n">
        <v>3</v>
      </c>
      <c r="E64" s="16" t="n">
        <v>300</v>
      </c>
      <c r="F64" s="16" t="n">
        <f aca="false">D64*E64</f>
        <v>900</v>
      </c>
      <c r="G64" s="15" t="s">
        <v>33</v>
      </c>
      <c r="H64" s="16" t="n">
        <v>720</v>
      </c>
      <c r="I64" s="16" t="n">
        <f aca="false">F64-H64</f>
        <v>180</v>
      </c>
      <c r="J64" s="15" t="str">
        <f aca="false">TEXT(A64,"mmm yyyy")</f>
        <v>Jun 2026</v>
      </c>
    </row>
    <row r="65" customFormat="false" ht="15" hidden="false" customHeight="false" outlineLevel="0" collapsed="false">
      <c r="A65" s="9" t="n">
        <v>46186</v>
      </c>
      <c r="B65" s="10" t="s">
        <v>30</v>
      </c>
      <c r="C65" s="10" t="s">
        <v>31</v>
      </c>
      <c r="D65" s="11" t="n">
        <v>3</v>
      </c>
      <c r="E65" s="12" t="n">
        <v>520</v>
      </c>
      <c r="F65" s="12" t="n">
        <f aca="false">D65*E65</f>
        <v>1560</v>
      </c>
      <c r="G65" s="11" t="s">
        <v>37</v>
      </c>
      <c r="H65" s="12" t="n">
        <v>1320</v>
      </c>
      <c r="I65" s="12" t="n">
        <f aca="false">F65-H65</f>
        <v>240</v>
      </c>
      <c r="J65" s="11" t="str">
        <f aca="false">TEXT(A65,"mmm yyyy")</f>
        <v>Jun 2026</v>
      </c>
    </row>
    <row r="66" customFormat="false" ht="15" hidden="false" customHeight="false" outlineLevel="0" collapsed="false">
      <c r="A66" s="13" t="n">
        <v>46187</v>
      </c>
      <c r="B66" s="14" t="s">
        <v>27</v>
      </c>
      <c r="C66" s="14" t="s">
        <v>28</v>
      </c>
      <c r="D66" s="15" t="n">
        <v>2</v>
      </c>
      <c r="E66" s="16" t="n">
        <v>450</v>
      </c>
      <c r="F66" s="16" t="n">
        <f aca="false">D66*E66</f>
        <v>900</v>
      </c>
      <c r="G66" s="15" t="s">
        <v>26</v>
      </c>
      <c r="H66" s="16" t="n">
        <v>760</v>
      </c>
      <c r="I66" s="16" t="n">
        <f aca="false">F66-H66</f>
        <v>140</v>
      </c>
      <c r="J66" s="15" t="str">
        <f aca="false">TEXT(A66,"mmm yyyy")</f>
        <v>Jun 2026</v>
      </c>
    </row>
    <row r="67" customFormat="false" ht="15" hidden="false" customHeight="false" outlineLevel="0" collapsed="false">
      <c r="A67" s="9" t="n">
        <v>46188</v>
      </c>
      <c r="B67" s="10" t="s">
        <v>42</v>
      </c>
      <c r="C67" s="10" t="s">
        <v>43</v>
      </c>
      <c r="D67" s="11" t="n">
        <v>2</v>
      </c>
      <c r="E67" s="12" t="n">
        <v>300</v>
      </c>
      <c r="F67" s="12" t="n">
        <f aca="false">D67*E67</f>
        <v>600</v>
      </c>
      <c r="G67" s="11" t="s">
        <v>33</v>
      </c>
      <c r="H67" s="12" t="n">
        <v>480</v>
      </c>
      <c r="I67" s="12" t="n">
        <f aca="false">F67-H67</f>
        <v>120</v>
      </c>
      <c r="J67" s="11" t="str">
        <f aca="false">TEXT(A67,"mmm yyyy")</f>
        <v>Jun 2026</v>
      </c>
    </row>
    <row r="68" customFormat="false" ht="15" hidden="false" customHeight="false" outlineLevel="0" collapsed="false">
      <c r="A68" s="13" t="n">
        <v>46189</v>
      </c>
      <c r="B68" s="14" t="s">
        <v>36</v>
      </c>
      <c r="C68" s="14" t="s">
        <v>35</v>
      </c>
      <c r="D68" s="15" t="n">
        <v>10</v>
      </c>
      <c r="E68" s="16" t="n">
        <v>260</v>
      </c>
      <c r="F68" s="16" t="n">
        <f aca="false">D68*E68</f>
        <v>2600</v>
      </c>
      <c r="G68" s="15" t="s">
        <v>29</v>
      </c>
      <c r="H68" s="16" t="n">
        <v>2000</v>
      </c>
      <c r="I68" s="16" t="n">
        <f aca="false">F68-H68</f>
        <v>600</v>
      </c>
      <c r="J68" s="15" t="str">
        <f aca="false">TEXT(A68,"mmm yyyy")</f>
        <v>Jun 2026</v>
      </c>
    </row>
    <row r="69" customFormat="false" ht="15" hidden="false" customHeight="false" outlineLevel="0" collapsed="false">
      <c r="A69" s="9" t="n">
        <v>46191</v>
      </c>
      <c r="B69" s="10" t="s">
        <v>38</v>
      </c>
      <c r="C69" s="10" t="s">
        <v>39</v>
      </c>
      <c r="D69" s="11" t="n">
        <v>3</v>
      </c>
      <c r="E69" s="12" t="n">
        <v>620</v>
      </c>
      <c r="F69" s="12" t="n">
        <f aca="false">D69*E69</f>
        <v>1860</v>
      </c>
      <c r="G69" s="11" t="s">
        <v>33</v>
      </c>
      <c r="H69" s="12" t="n">
        <v>1560</v>
      </c>
      <c r="I69" s="12" t="n">
        <f aca="false">F69-H69</f>
        <v>300</v>
      </c>
      <c r="J69" s="11" t="str">
        <f aca="false">TEXT(A69,"mmm yyyy")</f>
        <v>Jun 2026</v>
      </c>
    </row>
    <row r="70" customFormat="false" ht="15" hidden="false" customHeight="false" outlineLevel="0" collapsed="false">
      <c r="A70" s="13" t="n">
        <v>46191</v>
      </c>
      <c r="B70" s="14" t="s">
        <v>36</v>
      </c>
      <c r="C70" s="14" t="s">
        <v>35</v>
      </c>
      <c r="D70" s="15" t="n">
        <v>2</v>
      </c>
      <c r="E70" s="16" t="n">
        <v>260</v>
      </c>
      <c r="F70" s="16" t="n">
        <f aca="false">D70*E70</f>
        <v>520</v>
      </c>
      <c r="G70" s="15" t="s">
        <v>33</v>
      </c>
      <c r="H70" s="16" t="n">
        <v>400</v>
      </c>
      <c r="I70" s="16" t="n">
        <f aca="false">F70-H70</f>
        <v>120</v>
      </c>
      <c r="J70" s="15" t="str">
        <f aca="false">TEXT(A70,"mmm yyyy")</f>
        <v>Jun 2026</v>
      </c>
    </row>
    <row r="71" customFormat="false" ht="15" hidden="false" customHeight="false" outlineLevel="0" collapsed="false">
      <c r="A71" s="9" t="n">
        <v>46191</v>
      </c>
      <c r="B71" s="10" t="s">
        <v>30</v>
      </c>
      <c r="C71" s="10" t="s">
        <v>31</v>
      </c>
      <c r="D71" s="11" t="n">
        <v>1</v>
      </c>
      <c r="E71" s="12" t="n">
        <v>520</v>
      </c>
      <c r="F71" s="12" t="n">
        <f aca="false">D71*E71</f>
        <v>520</v>
      </c>
      <c r="G71" s="11" t="s">
        <v>26</v>
      </c>
      <c r="H71" s="12" t="n">
        <v>440</v>
      </c>
      <c r="I71" s="12" t="n">
        <f aca="false">F71-H71</f>
        <v>80</v>
      </c>
      <c r="J71" s="11" t="str">
        <f aca="false">TEXT(A71,"mmm yyyy")</f>
        <v>Jun 2026</v>
      </c>
    </row>
    <row r="72" customFormat="false" ht="15" hidden="false" customHeight="false" outlineLevel="0" collapsed="false">
      <c r="A72" s="13" t="n">
        <v>46192</v>
      </c>
      <c r="B72" s="14" t="s">
        <v>42</v>
      </c>
      <c r="C72" s="14" t="s">
        <v>43</v>
      </c>
      <c r="D72" s="15" t="n">
        <v>1</v>
      </c>
      <c r="E72" s="16" t="n">
        <v>300</v>
      </c>
      <c r="F72" s="16" t="n">
        <f aca="false">D72*E72</f>
        <v>300</v>
      </c>
      <c r="G72" s="15" t="s">
        <v>33</v>
      </c>
      <c r="H72" s="16" t="n">
        <v>240</v>
      </c>
      <c r="I72" s="16" t="n">
        <f aca="false">F72-H72</f>
        <v>60</v>
      </c>
      <c r="J72" s="15" t="str">
        <f aca="false">TEXT(A72,"mmm yyyy")</f>
        <v>Jun 2026</v>
      </c>
    </row>
    <row r="73" customFormat="false" ht="15" hidden="false" customHeight="false" outlineLevel="0" collapsed="false">
      <c r="A73" s="9" t="n">
        <v>46194</v>
      </c>
      <c r="B73" s="10" t="s">
        <v>24</v>
      </c>
      <c r="C73" s="10" t="s">
        <v>25</v>
      </c>
      <c r="D73" s="11" t="n">
        <v>3</v>
      </c>
      <c r="E73" s="12" t="n">
        <v>340</v>
      </c>
      <c r="F73" s="12" t="n">
        <f aca="false">D73*E73</f>
        <v>1020</v>
      </c>
      <c r="G73" s="11" t="s">
        <v>37</v>
      </c>
      <c r="H73" s="12" t="n">
        <v>810</v>
      </c>
      <c r="I73" s="12" t="n">
        <f aca="false">F73-H73</f>
        <v>210</v>
      </c>
      <c r="J73" s="11" t="str">
        <f aca="false">TEXT(A73,"mmm yyyy")</f>
        <v>Jun 2026</v>
      </c>
    </row>
    <row r="74" customFormat="false" ht="15" hidden="false" customHeight="false" outlineLevel="0" collapsed="false">
      <c r="A74" s="13" t="n">
        <v>46194</v>
      </c>
      <c r="B74" s="14" t="s">
        <v>34</v>
      </c>
      <c r="C74" s="14" t="s">
        <v>35</v>
      </c>
      <c r="D74" s="15" t="n">
        <v>5</v>
      </c>
      <c r="E74" s="16" t="n">
        <v>220</v>
      </c>
      <c r="F74" s="16" t="n">
        <f aca="false">D74*E74</f>
        <v>1100</v>
      </c>
      <c r="G74" s="15" t="s">
        <v>37</v>
      </c>
      <c r="H74" s="16" t="n">
        <v>825</v>
      </c>
      <c r="I74" s="16" t="n">
        <f aca="false">F74-H74</f>
        <v>275</v>
      </c>
      <c r="J74" s="15" t="str">
        <f aca="false">TEXT(A74,"mmm yyyy")</f>
        <v>Jun 2026</v>
      </c>
    </row>
    <row r="75" customFormat="false" ht="15" hidden="false" customHeight="false" outlineLevel="0" collapsed="false">
      <c r="A75" s="9" t="n">
        <v>46195</v>
      </c>
      <c r="B75" s="10" t="s">
        <v>24</v>
      </c>
      <c r="C75" s="10" t="s">
        <v>25</v>
      </c>
      <c r="D75" s="11" t="n">
        <v>2</v>
      </c>
      <c r="E75" s="12" t="n">
        <v>340</v>
      </c>
      <c r="F75" s="12" t="n">
        <f aca="false">D75*E75</f>
        <v>680</v>
      </c>
      <c r="G75" s="11" t="s">
        <v>26</v>
      </c>
      <c r="H75" s="12" t="n">
        <v>540</v>
      </c>
      <c r="I75" s="12" t="n">
        <f aca="false">F75-H75</f>
        <v>140</v>
      </c>
      <c r="J75" s="11" t="str">
        <f aca="false">TEXT(A75,"mmm yyyy")</f>
        <v>Jun 2026</v>
      </c>
    </row>
    <row r="76" customFormat="false" ht="15" hidden="false" customHeight="false" outlineLevel="0" collapsed="false">
      <c r="A76" s="13" t="n">
        <v>46196</v>
      </c>
      <c r="B76" s="14" t="s">
        <v>36</v>
      </c>
      <c r="C76" s="14" t="s">
        <v>35</v>
      </c>
      <c r="D76" s="15" t="n">
        <v>5</v>
      </c>
      <c r="E76" s="16" t="n">
        <v>260</v>
      </c>
      <c r="F76" s="16" t="n">
        <f aca="false">D76*E76</f>
        <v>1300</v>
      </c>
      <c r="G76" s="15" t="s">
        <v>29</v>
      </c>
      <c r="H76" s="16" t="n">
        <v>1000</v>
      </c>
      <c r="I76" s="16" t="n">
        <f aca="false">F76-H76</f>
        <v>300</v>
      </c>
      <c r="J76" s="15" t="str">
        <f aca="false">TEXT(A76,"mmm yyyy")</f>
        <v>Jun 2026</v>
      </c>
    </row>
    <row r="77" customFormat="false" ht="15" hidden="false" customHeight="false" outlineLevel="0" collapsed="false">
      <c r="A77" s="9" t="n">
        <v>46196</v>
      </c>
      <c r="B77" s="10" t="s">
        <v>30</v>
      </c>
      <c r="C77" s="10" t="s">
        <v>31</v>
      </c>
      <c r="D77" s="11" t="n">
        <v>5</v>
      </c>
      <c r="E77" s="12" t="n">
        <v>520</v>
      </c>
      <c r="F77" s="12" t="n">
        <f aca="false">D77*E77</f>
        <v>2600</v>
      </c>
      <c r="G77" s="11" t="s">
        <v>33</v>
      </c>
      <c r="H77" s="12" t="n">
        <v>2200</v>
      </c>
      <c r="I77" s="12" t="n">
        <f aca="false">F77-H77</f>
        <v>400</v>
      </c>
      <c r="J77" s="11" t="str">
        <f aca="false">TEXT(A77,"mmm yyyy")</f>
        <v>Jun 2026</v>
      </c>
    </row>
    <row r="78" customFormat="false" ht="15" hidden="false" customHeight="false" outlineLevel="0" collapsed="false">
      <c r="A78" s="13" t="n">
        <v>46196</v>
      </c>
      <c r="B78" s="14" t="s">
        <v>30</v>
      </c>
      <c r="C78" s="14" t="s">
        <v>31</v>
      </c>
      <c r="D78" s="15" t="n">
        <v>1</v>
      </c>
      <c r="E78" s="16" t="n">
        <v>520</v>
      </c>
      <c r="F78" s="16" t="n">
        <f aca="false">D78*E78</f>
        <v>520</v>
      </c>
      <c r="G78" s="15" t="s">
        <v>29</v>
      </c>
      <c r="H78" s="16" t="n">
        <v>440</v>
      </c>
      <c r="I78" s="16" t="n">
        <f aca="false">F78-H78</f>
        <v>80</v>
      </c>
      <c r="J78" s="15" t="str">
        <f aca="false">TEXT(A78,"mmm yyyy")</f>
        <v>Jun 2026</v>
      </c>
    </row>
    <row r="79" customFormat="false" ht="15" hidden="false" customHeight="false" outlineLevel="0" collapsed="false">
      <c r="A79" s="9" t="n">
        <v>46198</v>
      </c>
      <c r="B79" s="10" t="s">
        <v>38</v>
      </c>
      <c r="C79" s="10" t="s">
        <v>39</v>
      </c>
      <c r="D79" s="11" t="n">
        <v>1</v>
      </c>
      <c r="E79" s="12" t="n">
        <v>620</v>
      </c>
      <c r="F79" s="12" t="n">
        <f aca="false">D79*E79</f>
        <v>620</v>
      </c>
      <c r="G79" s="11" t="s">
        <v>29</v>
      </c>
      <c r="H79" s="12" t="n">
        <v>520</v>
      </c>
      <c r="I79" s="12" t="n">
        <f aca="false">F79-H79</f>
        <v>100</v>
      </c>
      <c r="J79" s="11" t="str">
        <f aca="false">TEXT(A79,"mmm yyyy")</f>
        <v>Jun 2026</v>
      </c>
    </row>
    <row r="80" customFormat="false" ht="15" hidden="false" customHeight="false" outlineLevel="0" collapsed="false">
      <c r="A80" s="13" t="n">
        <v>46200</v>
      </c>
      <c r="B80" s="14" t="s">
        <v>32</v>
      </c>
      <c r="C80" s="14" t="s">
        <v>31</v>
      </c>
      <c r="D80" s="15" t="n">
        <v>5</v>
      </c>
      <c r="E80" s="16" t="n">
        <v>480</v>
      </c>
      <c r="F80" s="16" t="n">
        <f aca="false">D80*E80</f>
        <v>2400</v>
      </c>
      <c r="G80" s="15" t="s">
        <v>26</v>
      </c>
      <c r="H80" s="16" t="n">
        <v>2000</v>
      </c>
      <c r="I80" s="16" t="n">
        <f aca="false">F80-H80</f>
        <v>400</v>
      </c>
      <c r="J80" s="15" t="str">
        <f aca="false">TEXT(A80,"mmm yyyy")</f>
        <v>Jun 2026</v>
      </c>
    </row>
    <row r="81" customFormat="false" ht="15" hidden="false" customHeight="false" outlineLevel="0" collapsed="false">
      <c r="A81" s="9" t="n">
        <v>46200</v>
      </c>
      <c r="B81" s="10" t="s">
        <v>41</v>
      </c>
      <c r="C81" s="10" t="s">
        <v>31</v>
      </c>
      <c r="D81" s="11" t="n">
        <v>5</v>
      </c>
      <c r="E81" s="12" t="n">
        <v>150</v>
      </c>
      <c r="F81" s="12" t="n">
        <f aca="false">D81*E81</f>
        <v>750</v>
      </c>
      <c r="G81" s="11" t="s">
        <v>26</v>
      </c>
      <c r="H81" s="12" t="n">
        <v>550</v>
      </c>
      <c r="I81" s="12" t="n">
        <f aca="false">F81-H81</f>
        <v>200</v>
      </c>
      <c r="J81" s="11" t="str">
        <f aca="false">TEXT(A81,"mmm yyyy")</f>
        <v>Jun 2026</v>
      </c>
    </row>
    <row r="82" customFormat="false" ht="15" hidden="false" customHeight="false" outlineLevel="0" collapsed="false">
      <c r="A82" s="13" t="n">
        <v>46201</v>
      </c>
      <c r="B82" s="14" t="s">
        <v>41</v>
      </c>
      <c r="C82" s="14" t="s">
        <v>31</v>
      </c>
      <c r="D82" s="15" t="n">
        <v>5</v>
      </c>
      <c r="E82" s="16" t="n">
        <v>150</v>
      </c>
      <c r="F82" s="16" t="n">
        <f aca="false">D82*E82</f>
        <v>750</v>
      </c>
      <c r="G82" s="15" t="s">
        <v>29</v>
      </c>
      <c r="H82" s="16" t="n">
        <v>550</v>
      </c>
      <c r="I82" s="16" t="n">
        <f aca="false">F82-H82</f>
        <v>200</v>
      </c>
      <c r="J82" s="15" t="str">
        <f aca="false">TEXT(A82,"mmm yyyy")</f>
        <v>Jun 2026</v>
      </c>
    </row>
    <row r="83" customFormat="false" ht="15" hidden="false" customHeight="false" outlineLevel="0" collapsed="false">
      <c r="A83" s="9" t="n">
        <v>46201</v>
      </c>
      <c r="B83" s="10" t="s">
        <v>40</v>
      </c>
      <c r="C83" s="10" t="s">
        <v>25</v>
      </c>
      <c r="D83" s="11" t="n">
        <v>2</v>
      </c>
      <c r="E83" s="12" t="n">
        <v>380</v>
      </c>
      <c r="F83" s="12" t="n">
        <f aca="false">D83*E83</f>
        <v>760</v>
      </c>
      <c r="G83" s="11" t="s">
        <v>26</v>
      </c>
      <c r="H83" s="12" t="n">
        <v>600</v>
      </c>
      <c r="I83" s="12" t="n">
        <f aca="false">F83-H83</f>
        <v>160</v>
      </c>
      <c r="J83" s="11" t="str">
        <f aca="false">TEXT(A83,"mmm yyyy")</f>
        <v>Jun 2026</v>
      </c>
    </row>
  </sheetData>
  <mergeCells count="2">
    <mergeCell ref="A1:J1"/>
    <mergeCell ref="A2:J2"/>
  </mergeCells>
  <conditionalFormatting sqref="G5:G83">
    <cfRule type="expression" priority="2" aboveAverage="0" equalAverage="0" bottom="0" percent="0" rank="0" text="" dxfId="0">
      <formula>$G5="MoMo"</formula>
    </cfRule>
    <cfRule type="expression" priority="3" aboveAverage="0" equalAverage="0" bottom="0" percent="0" rank="0" text="" dxfId="1">
      <formula>$G5="Cash"</formula>
    </cfRule>
    <cfRule type="expression" priority="4" aboveAverage="0" equalAverage="0" bottom="0" percent="0" rank="0" text="" dxfId="2">
      <formula>$G5="Bank Transfer"</formula>
    </cfRule>
    <cfRule type="expression" priority="5" aboveAverage="0" equalAverage="0" bottom="0" percent="0" rank="0" text="" dxfId="3">
      <formula>$G5="Credit (Owing)"</formula>
    </cfRule>
  </conditionalFormatting>
  <dataValidations count="3">
    <dataValidation allowBlank="true" errorStyle="stop" operator="between" showDropDown="false" showErrorMessage="false" showInputMessage="false" sqref="G5:G1083" type="list">
      <formula1>"Cash,MoMo,Bank Transfer,Credit (Owing)"</formula1>
      <formula2>0</formula2>
    </dataValidation>
    <dataValidation allowBlank="true" errorStyle="stop" operator="between" showDropDown="false" showErrorMessage="false" showInputMessage="false" sqref="C5:C1083" type="list">
      <formula1>"Baking Essentials,Canned Goods,Cooking Oils,Dairy,Grains &amp; Cereals,Household &amp; Toiletries"</formula1>
      <formula2>0</formula2>
    </dataValidation>
    <dataValidation allowBlank="true" errorStyle="stop" operator="between" showDropDown="false" showErrorMessage="false" showInputMessage="false" sqref="B5:B1083" type="list">
      <formula1>"Rice (50kg bag),Sugar (50kg bag),Vegetable Oil (25L gallon),Flour (50kg bag),Tomato Paste (carton),Sardines (carton),Evaporated Milk (carton),Detergent Powder (carton),Bar Soap (carton),Salt (50kg bag)"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2"/>
    <col collapsed="false" customWidth="true" hidden="false" outlineLevel="0" max="5" min="4" style="0" width="15"/>
    <col collapsed="false" customWidth="true" hidden="false" outlineLevel="0" max="6" min="6" style="0" width="18"/>
  </cols>
  <sheetData>
    <row r="1" customFormat="false" ht="19.7" hidden="false" customHeight="false" outlineLevel="0" collapsed="false">
      <c r="A1" s="6" t="s">
        <v>44</v>
      </c>
      <c r="B1" s="6"/>
      <c r="C1" s="6"/>
      <c r="D1" s="6"/>
      <c r="E1" s="6"/>
      <c r="F1" s="6"/>
    </row>
    <row r="2" customFormat="false" ht="15" hidden="false" customHeight="false" outlineLevel="0" collapsed="false">
      <c r="A2" s="7" t="s">
        <v>45</v>
      </c>
      <c r="B2" s="7"/>
      <c r="C2" s="7"/>
      <c r="D2" s="7"/>
      <c r="E2" s="7"/>
      <c r="F2" s="7"/>
    </row>
    <row r="4" customFormat="false" ht="30" hidden="false" customHeight="true" outlineLevel="0" collapsed="false">
      <c r="A4" s="8" t="s">
        <v>15</v>
      </c>
      <c r="B4" s="8" t="s">
        <v>46</v>
      </c>
      <c r="C4" s="8" t="s">
        <v>47</v>
      </c>
      <c r="D4" s="8" t="s">
        <v>48</v>
      </c>
      <c r="E4" s="8" t="s">
        <v>49</v>
      </c>
      <c r="F4" s="8" t="s">
        <v>50</v>
      </c>
    </row>
    <row r="5" customFormat="false" ht="15" hidden="false" customHeight="false" outlineLevel="0" collapsed="false">
      <c r="A5" s="10" t="s">
        <v>30</v>
      </c>
      <c r="B5" s="11" t="n">
        <v>80</v>
      </c>
      <c r="C5" s="11" t="n">
        <v>68</v>
      </c>
      <c r="D5" s="11" t="n">
        <f aca="false">B5-C5</f>
        <v>12</v>
      </c>
      <c r="E5" s="11" t="n">
        <v>20</v>
      </c>
      <c r="F5" s="11" t="str">
        <f aca="false">IF(D5&lt;E5,"Restock Needed","OK")</f>
        <v>Restock Needed</v>
      </c>
    </row>
    <row r="6" customFormat="false" ht="15" hidden="false" customHeight="false" outlineLevel="0" collapsed="false">
      <c r="A6" s="10" t="s">
        <v>32</v>
      </c>
      <c r="B6" s="11" t="n">
        <v>60</v>
      </c>
      <c r="C6" s="11" t="n">
        <v>52</v>
      </c>
      <c r="D6" s="11" t="n">
        <f aca="false">B6-C6</f>
        <v>8</v>
      </c>
      <c r="E6" s="11" t="n">
        <v>15</v>
      </c>
      <c r="F6" s="11" t="str">
        <f aca="false">IF(D6&lt;E6,"Restock Needed","OK")</f>
        <v>Restock Needed</v>
      </c>
    </row>
    <row r="7" customFormat="false" ht="15" hidden="false" customHeight="false" outlineLevel="0" collapsed="false">
      <c r="A7" s="10" t="s">
        <v>38</v>
      </c>
      <c r="B7" s="11" t="n">
        <v>45</v>
      </c>
      <c r="C7" s="11" t="n">
        <v>40</v>
      </c>
      <c r="D7" s="11" t="n">
        <f aca="false">B7-C7</f>
        <v>5</v>
      </c>
      <c r="E7" s="11" t="n">
        <v>12</v>
      </c>
      <c r="F7" s="11" t="str">
        <f aca="false">IF(D7&lt;E7,"Restock Needed","OK")</f>
        <v>Restock Needed</v>
      </c>
    </row>
    <row r="8" customFormat="false" ht="15" hidden="false" customHeight="false" outlineLevel="0" collapsed="false">
      <c r="A8" s="10" t="s">
        <v>27</v>
      </c>
      <c r="B8" s="11" t="n">
        <v>50</v>
      </c>
      <c r="C8" s="11" t="n">
        <v>33</v>
      </c>
      <c r="D8" s="11" t="n">
        <f aca="false">B8-C8</f>
        <v>17</v>
      </c>
      <c r="E8" s="11" t="n">
        <v>15</v>
      </c>
      <c r="F8" s="11" t="str">
        <f aca="false">IF(D8&lt;E8,"Restock Needed","OK")</f>
        <v>OK</v>
      </c>
    </row>
    <row r="9" customFormat="false" ht="15" hidden="false" customHeight="false" outlineLevel="0" collapsed="false">
      <c r="A9" s="10" t="s">
        <v>24</v>
      </c>
      <c r="B9" s="11" t="n">
        <v>70</v>
      </c>
      <c r="C9" s="11" t="n">
        <v>63</v>
      </c>
      <c r="D9" s="11" t="n">
        <f aca="false">B9-C9</f>
        <v>7</v>
      </c>
      <c r="E9" s="11" t="n">
        <v>20</v>
      </c>
      <c r="F9" s="11" t="str">
        <f aca="false">IF(D9&lt;E9,"Restock Needed","OK")</f>
        <v>Restock Needed</v>
      </c>
    </row>
    <row r="10" customFormat="false" ht="15" hidden="false" customHeight="false" outlineLevel="0" collapsed="false">
      <c r="A10" s="10" t="s">
        <v>40</v>
      </c>
      <c r="B10" s="11" t="n">
        <v>55</v>
      </c>
      <c r="C10" s="11" t="n">
        <v>49</v>
      </c>
      <c r="D10" s="11" t="n">
        <f aca="false">B10-C10</f>
        <v>6</v>
      </c>
      <c r="E10" s="11" t="n">
        <v>15</v>
      </c>
      <c r="F10" s="11" t="str">
        <f aca="false">IF(D10&lt;E10,"Restock Needed","OK")</f>
        <v>Restock Needed</v>
      </c>
    </row>
    <row r="11" customFormat="false" ht="15" hidden="false" customHeight="false" outlineLevel="0" collapsed="false">
      <c r="A11" s="10" t="s">
        <v>42</v>
      </c>
      <c r="B11" s="11" t="n">
        <v>65</v>
      </c>
      <c r="C11" s="11" t="n">
        <v>56</v>
      </c>
      <c r="D11" s="11" t="n">
        <f aca="false">B11-C11</f>
        <v>9</v>
      </c>
      <c r="E11" s="11" t="n">
        <v>18</v>
      </c>
      <c r="F11" s="11" t="str">
        <f aca="false">IF(D11&lt;E11,"Restock Needed","OK")</f>
        <v>Restock Needed</v>
      </c>
    </row>
    <row r="12" customFormat="false" ht="15" hidden="false" customHeight="false" outlineLevel="0" collapsed="false">
      <c r="A12" s="10" t="s">
        <v>36</v>
      </c>
      <c r="B12" s="11" t="n">
        <v>40</v>
      </c>
      <c r="C12" s="11" t="n">
        <v>36</v>
      </c>
      <c r="D12" s="11" t="n">
        <f aca="false">B12-C12</f>
        <v>4</v>
      </c>
      <c r="E12" s="11" t="n">
        <v>12</v>
      </c>
      <c r="F12" s="11" t="str">
        <f aca="false">IF(D12&lt;E12,"Restock Needed","OK")</f>
        <v>Restock Needed</v>
      </c>
    </row>
    <row r="13" customFormat="false" ht="15" hidden="false" customHeight="false" outlineLevel="0" collapsed="false">
      <c r="A13" s="10" t="s">
        <v>34</v>
      </c>
      <c r="B13" s="11" t="n">
        <v>45</v>
      </c>
      <c r="C13" s="11" t="n">
        <v>30</v>
      </c>
      <c r="D13" s="11" t="n">
        <f aca="false">B13-C13</f>
        <v>15</v>
      </c>
      <c r="E13" s="11" t="n">
        <v>12</v>
      </c>
      <c r="F13" s="11" t="str">
        <f aca="false">IF(D13&lt;E13,"Restock Needed","OK")</f>
        <v>OK</v>
      </c>
    </row>
    <row r="14" customFormat="false" ht="15" hidden="false" customHeight="false" outlineLevel="0" collapsed="false">
      <c r="A14" s="10" t="s">
        <v>41</v>
      </c>
      <c r="B14" s="11" t="n">
        <v>35</v>
      </c>
      <c r="C14" s="11" t="n">
        <v>22</v>
      </c>
      <c r="D14" s="11" t="n">
        <f aca="false">B14-C14</f>
        <v>13</v>
      </c>
      <c r="E14" s="11" t="n">
        <v>10</v>
      </c>
      <c r="F14" s="11" t="str">
        <f aca="false">IF(D14&lt;E14,"Restock Needed","OK")</f>
        <v>OK</v>
      </c>
    </row>
  </sheetData>
  <mergeCells count="2">
    <mergeCell ref="A1:F1"/>
    <mergeCell ref="A2:F2"/>
  </mergeCells>
  <conditionalFormatting sqref="A5:F14">
    <cfRule type="expression" priority="2" aboveAverage="0" equalAverage="0" bottom="0" percent="0" rank="0" text="" dxfId="3">
      <formula>$F5="Restock Needed"</formula>
    </cfRule>
    <cfRule type="expression" priority="3" aboveAverage="0" equalAverage="0" bottom="0" percent="0" rank="0" text="" dxfId="1">
      <formula>$F5="OK"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4" min="2" style="0" width="14"/>
    <col collapsed="false" customWidth="true" hidden="false" outlineLevel="0" max="5" min="5" style="0" width="18"/>
    <col collapsed="false" customWidth="true" hidden="false" outlineLevel="0" max="6" min="6" style="0" width="14"/>
    <col collapsed="false" customWidth="true" hidden="false" outlineLevel="0" max="7" min="7" style="0" width="15"/>
    <col collapsed="false" customWidth="true" hidden="false" outlineLevel="0" max="8" min="8" style="0" width="3"/>
    <col collapsed="false" customWidth="true" hidden="true" outlineLevel="0" max="9" min="9" style="0" width="20"/>
    <col collapsed="false" customWidth="true" hidden="true" outlineLevel="0" max="10" min="10" style="0" width="10"/>
    <col collapsed="false" customWidth="true" hidden="false" outlineLevel="0" max="12" min="11" style="0" width="5"/>
  </cols>
  <sheetData>
    <row r="1" customFormat="false" ht="19.7" hidden="false" customHeight="false" outlineLevel="0" collapsed="false">
      <c r="A1" s="6" t="s">
        <v>51</v>
      </c>
      <c r="B1" s="6"/>
      <c r="C1" s="6"/>
      <c r="D1" s="6"/>
      <c r="E1" s="6"/>
      <c r="F1" s="6"/>
      <c r="G1" s="6"/>
      <c r="H1" s="6"/>
      <c r="I1" s="6"/>
      <c r="J1" s="6"/>
      <c r="K1" s="6"/>
      <c r="L1" s="6"/>
    </row>
    <row r="2" customFormat="false" ht="15" hidden="false" customHeight="false" outlineLevel="0" collapsed="false">
      <c r="A2" s="7" t="s">
        <v>52</v>
      </c>
      <c r="B2" s="7"/>
      <c r="C2" s="7"/>
      <c r="D2" s="7"/>
      <c r="E2" s="7"/>
      <c r="F2" s="7"/>
      <c r="G2" s="7"/>
      <c r="H2" s="7"/>
      <c r="I2" s="7"/>
      <c r="J2" s="7"/>
      <c r="K2" s="7"/>
      <c r="L2" s="7"/>
    </row>
    <row r="4" customFormat="false" ht="19.5" hidden="false" customHeight="true" outlineLevel="0" collapsed="false">
      <c r="A4" s="17" t="s">
        <v>53</v>
      </c>
      <c r="B4" s="17"/>
      <c r="D4" s="17" t="s">
        <v>54</v>
      </c>
      <c r="E4" s="17"/>
      <c r="G4" s="17" t="s">
        <v>55</v>
      </c>
      <c r="H4" s="17"/>
      <c r="J4" s="17" t="s">
        <v>56</v>
      </c>
      <c r="K4" s="17"/>
    </row>
    <row r="5" customFormat="false" ht="30" hidden="false" customHeight="true" outlineLevel="0" collapsed="false">
      <c r="A5" s="18" t="n">
        <f aca="false">SUM('Sales Tracker'!F5:F83)</f>
        <v>118890</v>
      </c>
      <c r="B5" s="18"/>
      <c r="D5" s="18" t="n">
        <f aca="false">SUM('Sales Tracker'!I5:I83)</f>
        <v>22385</v>
      </c>
      <c r="E5" s="18"/>
      <c r="G5" s="18" t="n">
        <f aca="false">SUM('Sales Tracker'!H5:H83)</f>
        <v>96505</v>
      </c>
      <c r="H5" s="18"/>
      <c r="J5" s="19" t="n">
        <f aca="false">D5/A5</f>
        <v>0.188283287072083</v>
      </c>
      <c r="K5" s="19"/>
    </row>
    <row r="6" customFormat="false" ht="6" hidden="false" customHeight="true" outlineLevel="0" collapsed="false">
      <c r="A6" s="18"/>
      <c r="B6" s="18"/>
      <c r="D6" s="18"/>
      <c r="E6" s="18"/>
      <c r="G6" s="18"/>
      <c r="H6" s="18"/>
      <c r="J6" s="19"/>
      <c r="K6" s="19"/>
    </row>
    <row r="9" customFormat="false" ht="15" hidden="false" customHeight="false" outlineLevel="0" collapsed="false">
      <c r="A9" s="20" t="s">
        <v>57</v>
      </c>
      <c r="B9" s="20"/>
      <c r="C9" s="20"/>
      <c r="E9" s="20" t="s">
        <v>58</v>
      </c>
      <c r="F9" s="20"/>
      <c r="G9" s="20"/>
      <c r="I9" s="21" t="s">
        <v>59</v>
      </c>
    </row>
    <row r="10" customFormat="false" ht="15" hidden="false" customHeight="false" outlineLevel="0" collapsed="false">
      <c r="A10" s="8" t="s">
        <v>23</v>
      </c>
      <c r="B10" s="8" t="s">
        <v>60</v>
      </c>
      <c r="C10" s="8" t="s">
        <v>22</v>
      </c>
      <c r="E10" s="8" t="s">
        <v>15</v>
      </c>
      <c r="F10" s="8" t="s">
        <v>61</v>
      </c>
      <c r="G10" s="8" t="s">
        <v>60</v>
      </c>
      <c r="I10" s="22" t="s">
        <v>30</v>
      </c>
      <c r="J10" s="22" t="n">
        <f aca="false">SUMIF('Sales Tracker'!$B$5:$B$83,I10,'Sales Tracker'!$D$5:$D$83)</f>
        <v>50</v>
      </c>
    </row>
    <row r="11" customFormat="false" ht="15" hidden="false" customHeight="false" outlineLevel="0" collapsed="false">
      <c r="A11" s="10" t="s">
        <v>62</v>
      </c>
      <c r="B11" s="23" t="n">
        <f aca="false">SUMIF('Sales Tracker'!$J$5:$J$83,A11,'Sales Tracker'!$F$5:$F$83)</f>
        <v>71470</v>
      </c>
      <c r="C11" s="23" t="n">
        <f aca="false">SUMIF('Sales Tracker'!$J$5:$J$83,A11,'Sales Tracker'!$I$5:$I$83)</f>
        <v>13340</v>
      </c>
      <c r="E11" s="24" t="str">
        <f aca="false">INDEX($I$10:$I$19,MATCH(F11,$J$10:$J$19,0))</f>
        <v>Bar Soap (carton)</v>
      </c>
      <c r="F11" s="11" t="n">
        <f aca="false">LARGE($J$10:$J$19,1)</f>
        <v>51</v>
      </c>
      <c r="G11" s="25" t="n">
        <f aca="false">SUMIF('Sales Tracker'!$B$5:$B$83,E11,'Sales Tracker'!$F$5:$F$83)</f>
        <v>11220</v>
      </c>
      <c r="I11" s="22" t="s">
        <v>32</v>
      </c>
      <c r="J11" s="22" t="n">
        <f aca="false">SUMIF('Sales Tracker'!$B$5:$B$83,I11,'Sales Tracker'!$D$5:$D$83)</f>
        <v>27</v>
      </c>
    </row>
    <row r="12" customFormat="false" ht="15" hidden="false" customHeight="false" outlineLevel="0" collapsed="false">
      <c r="A12" s="10" t="s">
        <v>63</v>
      </c>
      <c r="B12" s="23" t="n">
        <f aca="false">SUMIF('Sales Tracker'!$J$5:$J$83,A12,'Sales Tracker'!$F$5:$F$83)</f>
        <v>47420</v>
      </c>
      <c r="C12" s="23" t="n">
        <f aca="false">SUMIF('Sales Tracker'!$J$5:$J$83,A12,'Sales Tracker'!$I$5:$I$83)</f>
        <v>9045</v>
      </c>
      <c r="E12" s="24" t="str">
        <f aca="false">INDEX($I$10:$I$19,MATCH(F12,$J$10:$J$19,0))</f>
        <v>Rice (50kg bag)</v>
      </c>
      <c r="F12" s="11" t="n">
        <f aca="false">LARGE($J$10:$J$19,2)</f>
        <v>50</v>
      </c>
      <c r="G12" s="25" t="n">
        <f aca="false">SUMIF('Sales Tracker'!$B$5:$B$83,E12,'Sales Tracker'!$F$5:$F$83)</f>
        <v>26000</v>
      </c>
      <c r="I12" s="22" t="s">
        <v>38</v>
      </c>
      <c r="J12" s="22" t="n">
        <f aca="false">SUMIF('Sales Tracker'!$B$5:$B$83,I12,'Sales Tracker'!$D$5:$D$83)</f>
        <v>17</v>
      </c>
    </row>
    <row r="13" customFormat="false" ht="15" hidden="false" customHeight="false" outlineLevel="0" collapsed="false">
      <c r="E13" s="24" t="str">
        <f aca="false">INDEX($I$10:$I$19,MATCH(F13,$J$10:$J$19,0))</f>
        <v>Detergent Powder (carton)</v>
      </c>
      <c r="F13" s="11" t="n">
        <f aca="false">LARGE($J$10:$J$19,3)</f>
        <v>42</v>
      </c>
      <c r="G13" s="25" t="n">
        <f aca="false">SUMIF('Sales Tracker'!$B$5:$B$83,E13,'Sales Tracker'!$F$5:$F$83)</f>
        <v>10920</v>
      </c>
      <c r="I13" s="22" t="s">
        <v>27</v>
      </c>
      <c r="J13" s="22" t="n">
        <f aca="false">SUMIF('Sales Tracker'!$B$5:$B$83,I13,'Sales Tracker'!$D$5:$D$83)</f>
        <v>38</v>
      </c>
    </row>
    <row r="14" customFormat="false" ht="15" hidden="false" customHeight="false" outlineLevel="0" collapsed="false">
      <c r="E14" s="24" t="str">
        <f aca="false">INDEX($I$10:$I$19,MATCH(F14,$J$10:$J$19,0))</f>
        <v>Flour (50kg bag)</v>
      </c>
      <c r="F14" s="11" t="n">
        <f aca="false">LARGE($J$10:$J$19,4)</f>
        <v>38</v>
      </c>
      <c r="G14" s="25" t="n">
        <f aca="false">SUMIF('Sales Tracker'!$B$5:$B$83,E14,'Sales Tracker'!$F$5:$F$83)</f>
        <v>17100</v>
      </c>
      <c r="I14" s="22" t="s">
        <v>24</v>
      </c>
      <c r="J14" s="22" t="n">
        <f aca="false">SUMIF('Sales Tracker'!$B$5:$B$83,I14,'Sales Tracker'!$D$5:$D$83)</f>
        <v>22</v>
      </c>
    </row>
    <row r="15" customFormat="false" ht="15" hidden="false" customHeight="false" outlineLevel="0" collapsed="false">
      <c r="E15" s="24" t="str">
        <f aca="false">INDEX($I$10:$I$19,MATCH(F15,$J$10:$J$19,0))</f>
        <v>Sardines (carton)</v>
      </c>
      <c r="F15" s="11" t="n">
        <f aca="false">LARGE($J$10:$J$19,5)</f>
        <v>34</v>
      </c>
      <c r="G15" s="25" t="n">
        <f aca="false">SUMIF('Sales Tracker'!$B$5:$B$83,E15,'Sales Tracker'!$F$5:$F$83)</f>
        <v>12920</v>
      </c>
      <c r="I15" s="22" t="s">
        <v>40</v>
      </c>
      <c r="J15" s="22" t="n">
        <f aca="false">SUMIF('Sales Tracker'!$B$5:$B$83,I15,'Sales Tracker'!$D$5:$D$83)</f>
        <v>34</v>
      </c>
    </row>
    <row r="16" customFormat="false" ht="15" hidden="false" customHeight="false" outlineLevel="0" collapsed="false">
      <c r="I16" s="0" t="s">
        <v>42</v>
      </c>
      <c r="J16" s="0" t="n">
        <f aca="false">SUMIF('Sales Tracker'!$B$5:$B$83,I16,'Sales Tracker'!$D$5:$D$83)</f>
        <v>16</v>
      </c>
    </row>
    <row r="17" customFormat="false" ht="15" hidden="false" customHeight="false" outlineLevel="0" collapsed="false">
      <c r="I17" s="0" t="s">
        <v>36</v>
      </c>
      <c r="J17" s="0" t="n">
        <f aca="false">SUMIF('Sales Tracker'!$B$5:$B$83,I17,'Sales Tracker'!$D$5:$D$83)</f>
        <v>42</v>
      </c>
    </row>
    <row r="18" customFormat="false" ht="15" hidden="false" customHeight="false" outlineLevel="0" collapsed="false">
      <c r="A18" s="20" t="s">
        <v>64</v>
      </c>
      <c r="B18" s="20"/>
      <c r="C18" s="20"/>
      <c r="E18" s="26" t="s">
        <v>65</v>
      </c>
      <c r="F18" s="26"/>
      <c r="G18" s="26"/>
      <c r="I18" s="22" t="s">
        <v>34</v>
      </c>
      <c r="J18" s="22" t="n">
        <f aca="false">SUMIF('Sales Tracker'!$B$5:$B$83,I18,'Sales Tracker'!$D$5:$D$83)</f>
        <v>51</v>
      </c>
    </row>
    <row r="19" customFormat="false" ht="28.35" hidden="false" customHeight="false" outlineLevel="0" collapsed="false">
      <c r="A19" s="8" t="s">
        <v>20</v>
      </c>
      <c r="B19" s="8" t="s">
        <v>19</v>
      </c>
      <c r="E19" s="8" t="s">
        <v>15</v>
      </c>
      <c r="F19" s="8" t="s">
        <v>48</v>
      </c>
      <c r="G19" s="8" t="s">
        <v>49</v>
      </c>
      <c r="I19" s="22" t="s">
        <v>41</v>
      </c>
      <c r="J19" s="22" t="n">
        <f aca="false">SUMIF('Sales Tracker'!$B$5:$B$83,I19,'Sales Tracker'!$D$5:$D$83)</f>
        <v>33</v>
      </c>
    </row>
    <row r="20" customFormat="false" ht="15" hidden="false" customHeight="false" outlineLevel="0" collapsed="false">
      <c r="A20" s="10" t="s">
        <v>33</v>
      </c>
      <c r="B20" s="23" t="n">
        <f aca="false">SUMIF('Sales Tracker'!$G$5:$G$83,A20,'Sales Tracker'!$F$5:$F$83)</f>
        <v>50720</v>
      </c>
      <c r="E20" s="27" t="str">
        <f aca="false">IF(Inventory!F5="Restock Needed",Inventory!A5,"")</f>
        <v>Rice (50kg bag)</v>
      </c>
      <c r="F20" s="28" t="n">
        <f aca="false">IF(Inventory!F5="Restock Needed",Inventory!D5,"")</f>
        <v>12</v>
      </c>
      <c r="G20" s="28" t="n">
        <f aca="false">IF(Inventory!F5="Restock Needed",Inventory!E5,"")</f>
        <v>20</v>
      </c>
    </row>
    <row r="21" customFormat="false" ht="15" hidden="false" customHeight="false" outlineLevel="0" collapsed="false">
      <c r="A21" s="10" t="s">
        <v>26</v>
      </c>
      <c r="B21" s="23" t="n">
        <f aca="false">SUMIF('Sales Tracker'!$G$5:$G$83,A21,'Sales Tracker'!$F$5:$F$83)</f>
        <v>37860</v>
      </c>
      <c r="E21" s="27" t="str">
        <f aca="false">IF(Inventory!F6="Restock Needed",Inventory!A6,"")</f>
        <v>Sugar (50kg bag)</v>
      </c>
      <c r="F21" s="28" t="n">
        <f aca="false">IF(Inventory!F6="Restock Needed",Inventory!D6,"")</f>
        <v>8</v>
      </c>
      <c r="G21" s="28" t="n">
        <f aca="false">IF(Inventory!F6="Restock Needed",Inventory!E6,"")</f>
        <v>15</v>
      </c>
    </row>
    <row r="22" customFormat="false" ht="15" hidden="false" customHeight="false" outlineLevel="0" collapsed="false">
      <c r="A22" s="10" t="s">
        <v>29</v>
      </c>
      <c r="B22" s="23" t="n">
        <f aca="false">SUMIF('Sales Tracker'!$G$5:$G$83,A22,'Sales Tracker'!$F$5:$F$83)</f>
        <v>13880</v>
      </c>
      <c r="E22" s="27" t="str">
        <f aca="false">IF(Inventory!F7="Restock Needed",Inventory!A7,"")</f>
        <v>Vegetable Oil (25L gallon)</v>
      </c>
      <c r="F22" s="28" t="n">
        <f aca="false">IF(Inventory!F7="Restock Needed",Inventory!D7,"")</f>
        <v>5</v>
      </c>
      <c r="G22" s="28" t="n">
        <f aca="false">IF(Inventory!F7="Restock Needed",Inventory!E7,"")</f>
        <v>12</v>
      </c>
    </row>
    <row r="23" customFormat="false" ht="15" hidden="false" customHeight="false" outlineLevel="0" collapsed="false">
      <c r="A23" s="10" t="s">
        <v>37</v>
      </c>
      <c r="B23" s="23" t="n">
        <f aca="false">SUMIF('Sales Tracker'!$G$5:$G$83,A23,'Sales Tracker'!$F$5:$F$83)</f>
        <v>16430</v>
      </c>
      <c r="E23" s="27" t="str">
        <f aca="false">IF(Inventory!F8="Restock Needed",Inventory!A8,"")</f>
        <v/>
      </c>
      <c r="F23" s="28" t="str">
        <f aca="false">IF(Inventory!F8="Restock Needed",Inventory!D8,"")</f>
        <v/>
      </c>
      <c r="G23" s="28" t="str">
        <f aca="false">IF(Inventory!F8="Restock Needed",Inventory!E8,"")</f>
        <v/>
      </c>
    </row>
    <row r="24" customFormat="false" ht="15" hidden="false" customHeight="false" outlineLevel="0" collapsed="false">
      <c r="E24" s="27" t="str">
        <f aca="false">IF(Inventory!F9="Restock Needed",Inventory!A9,"")</f>
        <v>Tomato Paste (carton)</v>
      </c>
      <c r="F24" s="28" t="n">
        <f aca="false">IF(Inventory!F9="Restock Needed",Inventory!D9,"")</f>
        <v>7</v>
      </c>
      <c r="G24" s="28" t="n">
        <f aca="false">IF(Inventory!F9="Restock Needed",Inventory!E9,"")</f>
        <v>20</v>
      </c>
    </row>
    <row r="25" customFormat="false" ht="15" hidden="false" customHeight="false" outlineLevel="0" collapsed="false">
      <c r="E25" s="27" t="str">
        <f aca="false">IF(Inventory!F10="Restock Needed",Inventory!A10,"")</f>
        <v>Sardines (carton)</v>
      </c>
      <c r="F25" s="28" t="n">
        <f aca="false">IF(Inventory!F10="Restock Needed",Inventory!D10,"")</f>
        <v>6</v>
      </c>
      <c r="G25" s="28" t="n">
        <f aca="false">IF(Inventory!F10="Restock Needed",Inventory!E10,"")</f>
        <v>15</v>
      </c>
    </row>
    <row r="26" customFormat="false" ht="15" hidden="false" customHeight="false" outlineLevel="0" collapsed="false">
      <c r="E26" s="27" t="str">
        <f aca="false">IF(Inventory!F11="Restock Needed",Inventory!A11,"")</f>
        <v>Evaporated Milk (carton)</v>
      </c>
      <c r="F26" s="28" t="n">
        <f aca="false">IF(Inventory!F11="Restock Needed",Inventory!D11,"")</f>
        <v>9</v>
      </c>
      <c r="G26" s="28" t="n">
        <f aca="false">IF(Inventory!F11="Restock Needed",Inventory!E11,"")</f>
        <v>18</v>
      </c>
    </row>
    <row r="27" customFormat="false" ht="15" hidden="false" customHeight="false" outlineLevel="0" collapsed="false">
      <c r="E27" s="27" t="str">
        <f aca="false">IF(Inventory!F12="Restock Needed",Inventory!A12,"")</f>
        <v>Detergent Powder (carton)</v>
      </c>
      <c r="F27" s="28" t="n">
        <f aca="false">IF(Inventory!F12="Restock Needed",Inventory!D12,"")</f>
        <v>4</v>
      </c>
      <c r="G27" s="28" t="n">
        <f aca="false">IF(Inventory!F12="Restock Needed",Inventory!E12,"")</f>
        <v>12</v>
      </c>
    </row>
    <row r="28" customFormat="false" ht="15" hidden="false" customHeight="false" outlineLevel="0" collapsed="false">
      <c r="E28" s="27" t="str">
        <f aca="false">IF(Inventory!F13="Restock Needed",Inventory!A13,"")</f>
        <v/>
      </c>
      <c r="F28" s="28" t="str">
        <f aca="false">IF(Inventory!F13="Restock Needed",Inventory!D13,"")</f>
        <v/>
      </c>
      <c r="G28" s="28" t="str">
        <f aca="false">IF(Inventory!F13="Restock Needed",Inventory!E13,"")</f>
        <v/>
      </c>
    </row>
    <row r="29" customFormat="false" ht="15" hidden="false" customHeight="false" outlineLevel="0" collapsed="false">
      <c r="E29" s="27" t="str">
        <f aca="false">IF(Inventory!F14="Restock Needed",Inventory!A14,"")</f>
        <v/>
      </c>
      <c r="F29" s="28" t="str">
        <f aca="false">IF(Inventory!F14="Restock Needed",Inventory!D14,"")</f>
        <v/>
      </c>
      <c r="G29" s="28" t="str">
        <f aca="false">IF(Inventory!F14="Restock Needed",Inventory!E14,"")</f>
        <v/>
      </c>
    </row>
  </sheetData>
  <mergeCells count="14">
    <mergeCell ref="A1:L1"/>
    <mergeCell ref="A2:L2"/>
    <mergeCell ref="A4:B4"/>
    <mergeCell ref="D4:E4"/>
    <mergeCell ref="G4:H4"/>
    <mergeCell ref="J4:K4"/>
    <mergeCell ref="A5:B6"/>
    <mergeCell ref="D5:E6"/>
    <mergeCell ref="G5:H6"/>
    <mergeCell ref="J5:K6"/>
    <mergeCell ref="A9:C9"/>
    <mergeCell ref="E9:G9"/>
    <mergeCell ref="A18:C18"/>
    <mergeCell ref="E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2026-07-06T23:01:33Z</dcterms:created>
  <dc:creator>openpyxl</dc:creator>
  <dc:description/>
  <dc:language>en-US</dc:language>
  <cp:lastModifiedBy/>
  <dcterms:modified xsi:type="dcterms:W3CDTF">2026-07-06T23:01:37Z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